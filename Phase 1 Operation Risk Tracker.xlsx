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ishwarya\Desktop\JD\Project\"/>
    </mc:Choice>
  </mc:AlternateContent>
  <xr:revisionPtr revIDLastSave="0" documentId="13_ncr:1_{326FAEFA-D8F9-4415-B2CD-932F031C44FE}" xr6:coauthVersionLast="47" xr6:coauthVersionMax="47" xr10:uidLastSave="{00000000-0000-0000-0000-000000000000}"/>
  <workbookProtection workbookAlgorithmName="SHA-512" workbookHashValue="8jzBeHlCDhUBsq/nld7+AJEbCbDNaaExkUrViBMXnKG9NKVvLsUcIb1SRuebYC8T0+pgIpNFOtPSoGIJ2iVQxg==" workbookSaltValue="AjQ0JdCzfgo4VPOFCL+Cgw==" workbookSpinCount="100000" lockStructure="1"/>
  <bookViews>
    <workbookView xWindow="-108" yWindow="-108" windowWidth="23256" windowHeight="13176" xr2:uid="{3EC1981C-F8AA-4A5C-952C-4BF68E931808}"/>
  </bookViews>
  <sheets>
    <sheet name="Risk Event Log" sheetId="1" r:id="rId1"/>
    <sheet name="KRI Tracker" sheetId="3" r:id="rId2"/>
    <sheet name="Independent Testing" sheetId="2" r:id="rId3"/>
    <sheet name="Reference &amp; Linkage Map" sheetId="4" r:id="rId4"/>
    <sheet name="Dashboard" sheetId="5" r:id="rId5"/>
  </sheets>
  <definedNames>
    <definedName name="_xlnm.Print_Area" localSheetId="3">'Reference &amp; Linkage Map'!$A$1:$G$11</definedName>
  </definedNames>
  <calcPr calcId="191029" iterateDelta="1E-4"/>
  <pivotCaches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2" i="3" l="1" a="1"/>
  <c r="K12" i="3"/>
  <c r="K11" i="3" a="1"/>
  <c r="K11" i="3"/>
  <c r="K8" i="3" a="1"/>
  <c r="K8" i="3" s="1"/>
  <c r="K14" i="3" a="1"/>
  <c r="K14" i="3"/>
  <c r="K13" i="3" a="1"/>
  <c r="K13" i="3"/>
  <c r="K10" i="3" a="1"/>
  <c r="K10" i="3"/>
  <c r="K9" i="3" a="1"/>
  <c r="K9" i="3"/>
  <c r="K7" i="3" a="1"/>
  <c r="K7" i="3"/>
  <c r="K6" i="3" a="1"/>
  <c r="K6" i="3"/>
  <c r="K5" i="3" a="1"/>
  <c r="K5" i="3"/>
  <c r="K4" i="3" a="1"/>
  <c r="K4" i="3"/>
  <c r="K3" i="3" a="1"/>
  <c r="K3" i="3"/>
  <c r="D20" i="3"/>
  <c r="E20" i="3" l="1"/>
  <c r="F20" i="3"/>
  <c r="B30" i="1"/>
  <c r="B29" i="1"/>
  <c r="B28" i="1"/>
  <c r="B27" i="1"/>
  <c r="B26" i="1"/>
  <c r="G20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<sst xmlns="http://schemas.openxmlformats.org/spreadsheetml/2006/main" count="716" uniqueCount="429">
  <si>
    <t>EVT-001</t>
  </si>
  <si>
    <t>EVT-002</t>
  </si>
  <si>
    <t>EVT-003</t>
  </si>
  <si>
    <t>EVT-004</t>
  </si>
  <si>
    <t>EVT-005</t>
  </si>
  <si>
    <t>EVT-006</t>
  </si>
  <si>
    <t>EVT-007</t>
  </si>
  <si>
    <t>EVT-008</t>
  </si>
  <si>
    <t>EVT-009</t>
  </si>
  <si>
    <t>EVT-010</t>
  </si>
  <si>
    <t>EVT-011</t>
  </si>
  <si>
    <t>EVT-012</t>
  </si>
  <si>
    <t>EVT-013</t>
  </si>
  <si>
    <t>EVT-014</t>
  </si>
  <si>
    <t>EVT-015</t>
  </si>
  <si>
    <t>EVT-016</t>
  </si>
  <si>
    <t>EVT-017</t>
  </si>
  <si>
    <t>EVT-018</t>
  </si>
  <si>
    <t>EVT-019</t>
  </si>
  <si>
    <t>EVT-020</t>
  </si>
  <si>
    <t xml:space="preserve">  Operational Risk Event Log  |  FY 2025</t>
  </si>
  <si>
    <t>Event Date</t>
  </si>
  <si>
    <t xml:space="preserve">Event Ref no. </t>
  </si>
  <si>
    <t>Business Unit</t>
  </si>
  <si>
    <t>Basel Level 1</t>
  </si>
  <si>
    <t>Incident Description</t>
  </si>
  <si>
    <t>Root Cause</t>
  </si>
  <si>
    <t>Detection Source</t>
  </si>
  <si>
    <t>Severity Level</t>
  </si>
  <si>
    <t>Financial Impact (USD)</t>
  </si>
  <si>
    <t>Regulatory Impact</t>
  </si>
  <si>
    <t>Case Status</t>
  </si>
  <si>
    <t>Control Gap</t>
  </si>
  <si>
    <t>Basel Level 2</t>
  </si>
  <si>
    <t>Retail Banking</t>
  </si>
  <si>
    <t>Technology</t>
  </si>
  <si>
    <t>Credit Risk</t>
  </si>
  <si>
    <t>Operations</t>
  </si>
  <si>
    <t>Compliance</t>
  </si>
  <si>
    <t>Treasury</t>
  </si>
  <si>
    <t>1. Internal Fraud</t>
  </si>
  <si>
    <t>2. External Fraud</t>
  </si>
  <si>
    <t>4. Clients, Products &amp; Business Practices</t>
  </si>
  <si>
    <t>5. Damage to Physical Assets</t>
  </si>
  <si>
    <t>6. Business Disruption &amp; System Failures</t>
  </si>
  <si>
    <t>7. Execution, Delivery &amp; Process Management</t>
  </si>
  <si>
    <t>2A. Phishing / Cyber Attack</t>
  </si>
  <si>
    <t>3. Employment Practices  &amp; Workplace  Safety</t>
  </si>
  <si>
    <t>Vendor / Third-Party</t>
  </si>
  <si>
    <t>Employee Conduct</t>
  </si>
  <si>
    <t>Process &amp; Model Risk</t>
  </si>
  <si>
    <t>Operational Process</t>
  </si>
  <si>
    <t>Cyber / External Threat</t>
  </si>
  <si>
    <t>Limit Monitoring</t>
  </si>
  <si>
    <t>Payment processor outage caused a 4-hour service disruption</t>
  </si>
  <si>
    <t>Unauthorized access attempt detected on internal risk system</t>
  </si>
  <si>
    <t>SME credit model produced inaccurate scoring outputs</t>
  </si>
  <si>
    <t>Duplicate transaction posted during manual reconciliation</t>
  </si>
  <si>
    <t>CCAR filing delayed due to reporting data issue</t>
  </si>
  <si>
    <t>Phishing email bypassed security filter and was opened by employees</t>
  </si>
  <si>
    <t>Customer onboarding completed without updated address documents</t>
  </si>
  <si>
    <t>Liquidity buffer dropped below internal threshold for 3 hours</t>
  </si>
  <si>
    <t>BCP failover test exceeded recovery target by 40 minutes</t>
  </si>
  <si>
    <t>CRE exposure exceeded approved single-name limit</t>
  </si>
  <si>
    <t>Transaction monitoring flagged potential structuring activity</t>
  </si>
  <si>
    <t>Batch processing issue delayed overnight settlement by 2 hours</t>
  </si>
  <si>
    <t>Customer complaint upheld for unsuitable product recommendation</t>
  </si>
  <si>
    <t>Critical process stopped due to dependency on single employee</t>
  </si>
  <si>
    <t>FX position exceeded approved overnight trading limit</t>
  </si>
  <si>
    <t>Customer data exported to unsecured external storage</t>
  </si>
  <si>
    <t>Incorrect risk ratings assigned to commercial loan accounts</t>
  </si>
  <si>
    <t>Employee traded during restricted blackout period</t>
  </si>
  <si>
    <t>Supplier insolvency impacted critical vendor agreements</t>
  </si>
  <si>
    <t>Production release deployed without CAB approval causing config issue</t>
  </si>
  <si>
    <t>Automated System Alert</t>
  </si>
  <si>
    <t>Security Monitoring</t>
  </si>
  <si>
    <t>Audit Review</t>
  </si>
  <si>
    <t>Operations Review</t>
  </si>
  <si>
    <t>Compliance Check</t>
  </si>
  <si>
    <t>Cyber Security Team</t>
  </si>
  <si>
    <t>Risk Monitoring</t>
  </si>
  <si>
    <t>BCP Testing</t>
  </si>
  <si>
    <t>Portfolio Oversight</t>
  </si>
  <si>
    <t>AML Monitoring</t>
  </si>
  <si>
    <t>Customer Escalation</t>
  </si>
  <si>
    <t>Operational Oversight</t>
  </si>
  <si>
    <t>Data Governance Team</t>
  </si>
  <si>
    <t>QA Review</t>
  </si>
  <si>
    <t>HR Review</t>
  </si>
  <si>
    <t>Vendor Management Review</t>
  </si>
  <si>
    <t>CAB Review</t>
  </si>
  <si>
    <t>High</t>
  </si>
  <si>
    <t>Medium</t>
  </si>
  <si>
    <t>Low</t>
  </si>
  <si>
    <t>Critical</t>
  </si>
  <si>
    <t>Yes</t>
  </si>
  <si>
    <t>Closed</t>
  </si>
  <si>
    <t>In Remediation</t>
  </si>
  <si>
    <t>No</t>
  </si>
  <si>
    <t>Escalated</t>
  </si>
  <si>
    <t>NO</t>
  </si>
  <si>
    <t>YES</t>
  </si>
  <si>
    <t>Vendor SLA monitoring absent</t>
  </si>
  <si>
    <t>A. Mehta</t>
  </si>
  <si>
    <t>Access review cycle too infrequent</t>
  </si>
  <si>
    <t>R. Sharma</t>
  </si>
  <si>
    <t>Model monitoring thresholds not defined</t>
  </si>
  <si>
    <t>P. Gupta</t>
  </si>
  <si>
    <t>Maker-checker control missing for manual entries</t>
  </si>
  <si>
    <t>S. Nair</t>
  </si>
  <si>
    <t>Regulatory reporting process lacks automated data feed</t>
  </si>
  <si>
    <t>D. Patel</t>
  </si>
  <si>
    <t>Cyber awareness training overdue</t>
  </si>
  <si>
    <t>KYC checklist not enforced during onboarding</t>
  </si>
  <si>
    <t>LCR alert threshold configured too close to limit</t>
  </si>
  <si>
    <t>Failover runbook not updated after infra change</t>
  </si>
  <si>
    <t>Limit monitoring dependent on manual review</t>
  </si>
  <si>
    <t>AML scenario tuning overdue</t>
  </si>
  <si>
    <t>Batch scheduler lacks automated failover</t>
  </si>
  <si>
    <t>Suitability assessment process inconsistently applied</t>
  </si>
  <si>
    <t>Process documentation and backup coverage inadequate</t>
  </si>
  <si>
    <t>Trading limit controls not enforced in real time</t>
  </si>
  <si>
    <t>DLP controls missing for bulk data exports</t>
  </si>
  <si>
    <t>Risk rating override approval bypass identified</t>
  </si>
  <si>
    <t>Trade pre-clearance notification failure</t>
  </si>
  <si>
    <t>Supplier concentration controls not defined</t>
  </si>
  <si>
    <t>Emergency change process bypassed</t>
  </si>
  <si>
    <t>7B. Model Risk / Validation Failure</t>
  </si>
  <si>
    <t>7A. Manual Processing Error</t>
  </si>
  <si>
    <t>7C. Regulatory Reporting Failure</t>
  </si>
  <si>
    <t>7D. KYC / Documentation Deficiency</t>
  </si>
  <si>
    <t>7E. Liquidity Limit Monitoring Failure</t>
  </si>
  <si>
    <t>6B. Business Continuity Failure</t>
  </si>
  <si>
    <t>7F. Concentration Limit Breach</t>
  </si>
  <si>
    <t>2B. AML / Suspicious Transaction Activity</t>
  </si>
  <si>
    <t>6C. System Processing Failure</t>
  </si>
  <si>
    <t>4A. Mis-selling / Suitability Issue</t>
  </si>
  <si>
    <t>7G. Key Person Dependency</t>
  </si>
  <si>
    <t>7H. Market / Trading Limit Breach</t>
  </si>
  <si>
    <t>1B. Data Privacy / Information Misuse</t>
  </si>
  <si>
    <t>7I. Credit Risk Assessment Error</t>
  </si>
  <si>
    <t>1C. Employee Conduct Violation</t>
  </si>
  <si>
    <t>6D. Supplier / Vendor Disruption</t>
  </si>
  <si>
    <t>7J. Change Management Failure</t>
  </si>
  <si>
    <t xml:space="preserve"> Team  Head</t>
  </si>
  <si>
    <t>QUICK STATS</t>
  </si>
  <si>
    <t>Total Events</t>
  </si>
  <si>
    <t>High / Critical</t>
  </si>
  <si>
    <t>Regulatory Flags</t>
  </si>
  <si>
    <t>Open / Escalated</t>
  </si>
  <si>
    <t>Total Fin. Impact</t>
  </si>
  <si>
    <t>4A) Mis-selling / Suitability</t>
  </si>
  <si>
    <t>5A) Physical Asset Damage</t>
  </si>
  <si>
    <t>6A) Third-Party Vendor Failure</t>
  </si>
  <si>
    <t>7A) Data Entry / Processing Error</t>
  </si>
  <si>
    <t>1B) Data Privacy / Data Misuse</t>
  </si>
  <si>
    <t>2B) AML / Suspicious Activity</t>
  </si>
  <si>
    <t>3B) Key Person Dependency</t>
  </si>
  <si>
    <t>4B) Regulatory Non-Compliance</t>
  </si>
  <si>
    <t>5B) Facility Disruption</t>
  </si>
  <si>
    <t>6B) System Outage / Processing Failure</t>
  </si>
  <si>
    <t>7B) Model Validation Failure</t>
  </si>
  <si>
    <t>1C) Employee Policy Violation</t>
  </si>
  <si>
    <t>6C) Business Continuity Failure</t>
  </si>
  <si>
    <t>7C) KYC Documentation Gap</t>
  </si>
  <si>
    <t>6D) Supplier Insolvency</t>
  </si>
  <si>
    <t>7D) Liquidity Limit Breach</t>
  </si>
  <si>
    <t>1A) Unauthorized Access</t>
  </si>
  <si>
    <t>2A) Phishing / Cyber Attack</t>
  </si>
  <si>
    <t>3A) Workplace Conduct Issue</t>
  </si>
  <si>
    <t>7E) Concentration Risk Breach</t>
  </si>
  <si>
    <t>7F) FX Limit Exceedance</t>
  </si>
  <si>
    <t>7G) Incorrect Risk Rating</t>
  </si>
  <si>
    <t>7H) Change Management Failure</t>
  </si>
  <si>
    <t>7I) Regulatory Reporting Delay</t>
  </si>
  <si>
    <t>KRI Name</t>
  </si>
  <si>
    <t>Risk Category (Basel L1)</t>
  </si>
  <si>
    <t>Metric Description</t>
  </si>
  <si>
    <t>Remediation Action</t>
  </si>
  <si>
    <t>Last Review Date</t>
  </si>
  <si>
    <t>KRI Ref</t>
  </si>
  <si>
    <t>Measurement Frequency</t>
  </si>
  <si>
    <t>Green Threshold</t>
  </si>
  <si>
    <t>Amber Threshold</t>
  </si>
  <si>
    <t>Red Threshold</t>
  </si>
  <si>
    <t>Current Value</t>
  </si>
  <si>
    <t>RAG Status</t>
  </si>
  <si>
    <t>Breach Date (if any)</t>
  </si>
  <si>
    <t>KRI-001</t>
  </si>
  <si>
    <t>KRI-002</t>
  </si>
  <si>
    <t>KRI-003</t>
  </si>
  <si>
    <t>KRI-004</t>
  </si>
  <si>
    <t>KRI-005</t>
  </si>
  <si>
    <t>KRI-006</t>
  </si>
  <si>
    <t>KRI-007</t>
  </si>
  <si>
    <t>KRI-008</t>
  </si>
  <si>
    <t>KRI-009</t>
  </si>
  <si>
    <t>KRI-010</t>
  </si>
  <si>
    <t>KRI-011</t>
  </si>
  <si>
    <t>KRI-012</t>
  </si>
  <si>
    <t>System Availability (%)</t>
  </si>
  <si>
    <t>Model Override Rate (%)</t>
  </si>
  <si>
    <t>Regulatory Findings Open &gt;60 Days</t>
  </si>
  <si>
    <t>Phishing Click-Through Rate (%)</t>
  </si>
  <si>
    <t>Failed/Unreconciled Transactions (#)</t>
  </si>
  <si>
    <t>LCR Buffer Utilisation (%)</t>
  </si>
  <si>
    <t>Customer Complaints Upheld (%)</t>
  </si>
  <si>
    <t>Patch Compliance Rate (%)</t>
  </si>
  <si>
    <t>AML Scenario Tuning Backlog (#)</t>
  </si>
  <si>
    <t>BCP Recovery Time Variance (mins)</t>
  </si>
  <si>
    <t>Concentration Limit Utilisation (%)</t>
  </si>
  <si>
    <t>% of model outputs overridden or flagged during validation review</t>
  </si>
  <si>
    <t>Count of regulatory submissions delayed, incorrect or requiring resubmission</t>
  </si>
  <si>
    <t>% of staff clicking simulated or real phishing attempts in the period</t>
  </si>
  <si>
    <t>Count of manual entries posted without maker-checker sign-off</t>
  </si>
  <si>
    <t>% of customer complaints upheld relating to product suitability or mis-selling</t>
  </si>
  <si>
    <t>% of single-name or sectoral exposures exceeding approved concentration limits</t>
  </si>
  <si>
    <t>Monthly</t>
  </si>
  <si>
    <t>5-10%</t>
  </si>
  <si>
    <t>1-2</t>
  </si>
  <si>
    <t>Quarterly</t>
  </si>
  <si>
    <t>2-5%</t>
  </si>
  <si>
    <t>Daily</t>
  </si>
  <si>
    <t>1-3</t>
  </si>
  <si>
    <t>70-85%</t>
  </si>
  <si>
    <t>Bi-annual</t>
  </si>
  <si>
    <t>1-30</t>
  </si>
  <si>
    <t>Weekly</t>
  </si>
  <si>
    <t>80-95%</t>
  </si>
  <si>
    <t>&lt; 3%</t>
  </si>
  <si>
    <t>&lt; 5%</t>
  </si>
  <si>
    <t>&lt; 2%</t>
  </si>
  <si>
    <t>&lt; 1%</t>
  </si>
  <si>
    <t>KRI ID</t>
  </si>
  <si>
    <t>Linked Events</t>
  </si>
  <si>
    <t>EVT-007 (KYC gap)</t>
  </si>
  <si>
    <t>EVT-005 (CCAR delay)</t>
  </si>
  <si>
    <t>EVT-006 (phishing)</t>
  </si>
  <si>
    <t>EVT-004 (duplicate transaction)</t>
  </si>
  <si>
    <t>EVT-008 (LCR breach)</t>
  </si>
  <si>
    <t>EVT-013 (mis-selling complaint)</t>
  </si>
  <si>
    <t>EVT-012 (batch failure)</t>
  </si>
  <si>
    <t>EVT-011 (AML escalation)</t>
  </si>
  <si>
    <t>EVT-009 (BCP breach)</t>
  </si>
  <si>
    <t>TABLE 1-BASEL REFERENCE</t>
  </si>
  <si>
    <t>TABLE 2</t>
  </si>
  <si>
    <t>EVT-001 (system outage),
 EVT-012 (batch failure)</t>
  </si>
  <si>
    <t>EVT-003 (model failure), 
EVT-017 (risk rating error)</t>
  </si>
  <si>
    <t>EVT-010 (concentration breach)
 EVT-015 (FX limit)</t>
  </si>
  <si>
    <t>99.5 -99.9%</t>
  </si>
  <si>
    <t>&lt; 99.5%</t>
  </si>
  <si>
    <t>&gt; 10%</t>
  </si>
  <si>
    <t>&gt; 2</t>
  </si>
  <si>
    <t>&gt; 5%</t>
  </si>
  <si>
    <t>&gt; 3</t>
  </si>
  <si>
    <t>&gt; 85%</t>
  </si>
  <si>
    <t>≥ 2</t>
  </si>
  <si>
    <t>&gt; 30</t>
  </si>
  <si>
    <t>&gt; 95%</t>
  </si>
  <si>
    <t>Review SLA breach; streamline doc collection</t>
  </si>
  <si>
    <t>No action required</t>
  </si>
  <si>
    <t>Mandatory QA sign-off on all overrides &gt;8%; re-training in progress</t>
  </si>
  <si>
    <t>Escalate to DRO; target closure by 31-May</t>
  </si>
  <si>
    <t>Refresher training launched; completion tracking ongoing</t>
  </si>
  <si>
    <t>Ops review to assess manual control gaps</t>
  </si>
  <si>
    <t>Root-cause analysis underway; suitability retraining planned</t>
  </si>
  <si>
    <t>Patch management review; deployment window expanded</t>
  </si>
  <si>
    <t>MLRO to prioritise Q2 tuning; 3rd-party review engaged</t>
  </si>
  <si>
    <t>Runbook update; retest scheduled Jun-25</t>
  </si>
  <si>
    <t>Continue monitoring</t>
  </si>
  <si>
    <t>&gt; 8 %</t>
  </si>
  <si>
    <t>3-8 %</t>
  </si>
  <si>
    <t>Amber</t>
  </si>
  <si>
    <t>Green</t>
  </si>
  <si>
    <t>Red</t>
  </si>
  <si>
    <t>Total KRIs</t>
  </si>
  <si>
    <t>ITP Ref</t>
  </si>
  <si>
    <t>Test Area</t>
  </si>
  <si>
    <t>Basel Category</t>
  </si>
  <si>
    <t>Review Name</t>
  </si>
  <si>
    <t>Objective</t>
  </si>
  <si>
    <t>Method</t>
  </si>
  <si>
    <t>Quarter</t>
  </si>
  <si>
    <t>Actual Timeline</t>
  </si>
  <si>
    <t>Lead</t>
  </si>
  <si>
    <t>Status</t>
  </si>
  <si>
    <t>Finding</t>
  </si>
  <si>
    <t>Rating</t>
  </si>
  <si>
    <t>Management Response</t>
  </si>
  <si>
    <t>ITP-001</t>
  </si>
  <si>
    <t>Vendor Risk</t>
  </si>
  <si>
    <t>Basel 6</t>
  </si>
  <si>
    <t>Third-Party Vendor SLA Monitoring</t>
  </si>
  <si>
    <t>Check if vendor SLAs are being tracked and if breach alerts actually fire</t>
  </si>
  <si>
    <t>Walkthrough + SLA data sampling</t>
  </si>
  <si>
    <t>Q1</t>
  </si>
  <si>
    <t>01-Jan to 31-Jan</t>
  </si>
  <si>
    <t>06-Jan to 28-Jan</t>
  </si>
  <si>
    <t>SLA tracking is fully manual — no system alert exists</t>
  </si>
  <si>
    <t>Unsatisfactory</t>
  </si>
  <si>
    <t>Vendor dashboard to be live by Q2</t>
  </si>
  <si>
    <t>ITP-002</t>
  </si>
  <si>
    <t>Access &amp; Identity</t>
  </si>
  <si>
    <t>Basel 1</t>
  </si>
  <si>
    <t>Privileged Access Reviews</t>
  </si>
  <si>
    <t>Confirm access reviews are done quarterly and exceptions are signed off</t>
  </si>
  <si>
    <t>Access log review + population testing</t>
  </si>
  <si>
    <t>15-Jan to 15-Feb</t>
  </si>
  <si>
    <t>16-Jan to 14-Feb</t>
  </si>
  <si>
    <t>Reviews only happen every 6 months — half the required frequency</t>
  </si>
  <si>
    <t>Needs Improvement</t>
  </si>
  <si>
    <t>Moving to quarterly; automated joiner/leaver controls by Q2</t>
  </si>
  <si>
    <t>ITP-003</t>
  </si>
  <si>
    <t>Model Risk</t>
  </si>
  <si>
    <t>Basel 7</t>
  </si>
  <si>
    <t>Credit Model Monitoring</t>
  </si>
  <si>
    <t>Check if model performance is being tracked with proper alert thresholds</t>
  </si>
  <si>
    <t>Model documentation review + back-test analysis</t>
  </si>
  <si>
    <t>01-Feb to 28-Feb</t>
  </si>
  <si>
    <t>03-Feb to 27-Feb</t>
  </si>
  <si>
    <t>No monitoring thresholds defined; override rate already above 10%</t>
  </si>
  <si>
    <t>Threshold framework by Q2; full re-validation in Q3</t>
  </si>
  <si>
    <t>ITP-004</t>
  </si>
  <si>
    <t>Regulatory Reporting</t>
  </si>
  <si>
    <t>CCAR Filing Controls</t>
  </si>
  <si>
    <t>Test data flow and controls behind regulatory submissions end to end</t>
  </si>
  <si>
    <t>Process walkthrough + data lineage testing</t>
  </si>
  <si>
    <t>15-Feb to 15-Mar</t>
  </si>
  <si>
    <t>17-Feb to 14-Mar</t>
  </si>
  <si>
    <t>Data extracted manually; no reconciliation check before submission</t>
  </si>
  <si>
    <t>Automated data feed in UAT, targeting Q2-Q3 go-live</t>
  </si>
  <si>
    <t>ITP-005</t>
  </si>
  <si>
    <t>Cyber Security</t>
  </si>
  <si>
    <t>Basel 2</t>
  </si>
  <si>
    <t>Phishing &amp; Awareness Controls</t>
  </si>
  <si>
    <t>Test whether cyber training is effective and phishing controls are working</t>
  </si>
  <si>
    <t>Simulated phishing exercise + training records review</t>
  </si>
  <si>
    <t>01-Mar to 31-Mar</t>
  </si>
  <si>
    <t>03-Mar to 28-Mar</t>
  </si>
  <si>
    <t>4.1% click rate; 38% of staff hadn't completed annual training</t>
  </si>
  <si>
    <t>Monthly simulations introduced; refresher mandatory by Apr-25</t>
  </si>
  <si>
    <t>ITP-006</t>
  </si>
  <si>
    <t>KYC / Onboarding</t>
  </si>
  <si>
    <t>Customer Onboarding KYC Controls</t>
  </si>
  <si>
    <t>Test whether KYC document requirements are complete and enforced</t>
  </si>
  <si>
    <t>Sample testing of 30 files + system configuration review</t>
  </si>
  <si>
    <t>Q2</t>
  </si>
  <si>
    <t>01-Apr to 30-Apr</t>
  </si>
  <si>
    <t>02-Apr (Started)</t>
  </si>
  <si>
    <t>In Progress</t>
  </si>
  <si>
    <t>System allows document waiver without dual approval</t>
  </si>
  <si>
    <t>TBC</t>
  </si>
  <si>
    <t>IT hard-stop under implementation; manual review as interim</t>
  </si>
  <si>
    <t>ITP-007</t>
  </si>
  <si>
    <t>Concentration Risk</t>
  </si>
  <si>
    <t>Credit Concentration Limit Monitoring</t>
  </si>
  <si>
    <t>Verify single-name and sectoral limits are monitored in real time</t>
  </si>
  <si>
    <t>Limit report review + breach log analysis</t>
  </si>
  <si>
    <t>15-Apr to 15-May</t>
  </si>
  <si>
    <t>-</t>
  </si>
  <si>
    <t>Planned</t>
  </si>
  <si>
    <t>ITP-008</t>
  </si>
  <si>
    <t>AML Controls</t>
  </si>
  <si>
    <t>AML Scenario Tuning</t>
  </si>
  <si>
    <t>Check if AML scenarios are reviewed on time and tuned effectively</t>
  </si>
  <si>
    <t>Rule set review + alert disposition testing</t>
  </si>
  <si>
    <t>01-May to 31-May</t>
  </si>
  <si>
    <t>ITP-009</t>
  </si>
  <si>
    <t>Data Governance</t>
  </si>
  <si>
    <t>Data Loss Prevention Controls</t>
  </si>
  <si>
    <t>Test controls preventing unauthorised bulk export of customer data</t>
  </si>
  <si>
    <t>DLP configuration review + incident log testing</t>
  </si>
  <si>
    <t>15-May to 15-Jun</t>
  </si>
  <si>
    <t>ITP-010</t>
  </si>
  <si>
    <t>Business Continuity</t>
  </si>
  <si>
    <t>BCP Failover Testing</t>
  </si>
  <si>
    <t>Validate BCP runbook accuracy and whether RTO is achievable</t>
  </si>
  <si>
    <t>Documentation review + live failover test observation</t>
  </si>
  <si>
    <t>Q3</t>
  </si>
  <si>
    <t>01-Jul to 31-Jul</t>
  </si>
  <si>
    <t>ITP-011</t>
  </si>
  <si>
    <t>Supplier Risk</t>
  </si>
  <si>
    <t>Supplier Concentration Controls</t>
  </si>
  <si>
    <t>Assess whether supplier diversification policy exists and covers single points of failure</t>
  </si>
  <si>
    <t>Supplier register review + policy assessment</t>
  </si>
  <si>
    <t>01-Aug to 31-Aug</t>
  </si>
  <si>
    <t>ITP-012</t>
  </si>
  <si>
    <t>Change Management</t>
  </si>
  <si>
    <t>CAB &amp; Emergency Change Controls</t>
  </si>
  <si>
    <t>Test whether change management policy is followed including emergency changes</t>
  </si>
  <si>
    <t>Sampling 50 change records + CAB minutes review</t>
  </si>
  <si>
    <t>15-Sep to 15-Oct</t>
  </si>
  <si>
    <t>ITP-013</t>
  </si>
  <si>
    <t>Liquidity Risk</t>
  </si>
  <si>
    <t>LCR Alert Mechanism</t>
  </si>
  <si>
    <t>Verify LCR alert thresholds are correctly set and escalation path works</t>
  </si>
  <si>
    <t>System config review + alert log testing</t>
  </si>
  <si>
    <t>Q4</t>
  </si>
  <si>
    <t>01-Oct to 31-Oct</t>
  </si>
  <si>
    <t>ITP-014</t>
  </si>
  <si>
    <t>Trade Pre-Clearance &amp; Blackout Controls</t>
  </si>
  <si>
    <t>Test whether trade pre-clearance process works and blackout periods are enforced</t>
  </si>
  <si>
    <t>Policy review + trade log sampling + HR records</t>
  </si>
  <si>
    <t>01-Nov to 30-Nov</t>
  </si>
  <si>
    <t>KYC Documentation Exception Rate (%)</t>
  </si>
  <si>
    <t>% of onboarding files with missing or incomplete KYC documents</t>
  </si>
  <si>
    <t>% uptime of core banking systems per month</t>
  </si>
  <si>
    <t>% of internal LCR buffer consumed intraday</t>
  </si>
  <si>
    <t>Number of AML scenarios overdue for review and tuning</t>
  </si>
  <si>
    <t>Deviation in minutes from RTO target in last BCP test</t>
  </si>
  <si>
    <t>Planned Timeline (2025)</t>
  </si>
  <si>
    <t>Operational Risk Independent Testing &amp; Monitoring Plan | FY 25</t>
  </si>
  <si>
    <t>% of overnight batch cycles failing outside SLA window</t>
  </si>
  <si>
    <t>Row Labels</t>
  </si>
  <si>
    <t>Grand Total</t>
  </si>
  <si>
    <t>Sum of Financial Impact (USD)</t>
  </si>
  <si>
    <t>(All)</t>
  </si>
  <si>
    <t>KRI TRACKERS</t>
  </si>
  <si>
    <t>Total Tests</t>
  </si>
  <si>
    <t>Complete</t>
  </si>
  <si>
    <t>No of Events</t>
  </si>
  <si>
    <t>Risk Event - Basel Category</t>
  </si>
  <si>
    <t/>
  </si>
  <si>
    <t>STATUS Check</t>
  </si>
  <si>
    <t>BASEL Level 1 Risk heat</t>
  </si>
  <si>
    <t xml:space="preserve">Key Risk Indicator (KRI) Tracker  |  FY 2025  </t>
  </si>
  <si>
    <t>Operational Risk Dashboard</t>
  </si>
  <si>
    <t>&lt; 98%</t>
  </si>
  <si>
    <t>95-97%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</si>
</sst>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b/>
      <sz val="16"/>
      <color theme="0"/>
      <name val="Segoe UI"/>
      <family val="2"/>
    </font>
    <font>
      <sz val="9"/>
      <color rgb="FF000000"/>
      <name val="Segoe UI"/>
      <family val="2"/>
    </font>
    <font>
      <b/>
      <sz val="14"/>
      <color theme="0"/>
      <name val="Segoe UI"/>
      <family val="2"/>
    </font>
    <font>
      <sz val="12"/>
      <color rgb="FF000000"/>
      <name val="Segoe UI"/>
      <family val="2"/>
    </font>
    <font>
      <b/>
      <sz val="12"/>
      <color theme="0"/>
      <name val="Segoe UI"/>
      <family val="2"/>
    </font>
    <font>
      <sz val="11"/>
      <color rgb="FF000000"/>
      <name val="Consolas"/>
      <family val="3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843C0C"/>
      <name val="Arial"/>
      <family val="2"/>
    </font>
    <font>
      <b/>
      <sz val="12"/>
      <color rgb="FF7F6000"/>
      <name val="Arial"/>
      <family val="2"/>
    </font>
    <font>
      <b/>
      <sz val="12"/>
      <color rgb="FFFFFFFF"/>
      <name val="Arial"/>
      <family val="2"/>
    </font>
    <font>
      <sz val="12"/>
      <color theme="1"/>
      <name val="Segoe UI"/>
      <family val="2"/>
    </font>
    <font>
      <b/>
      <sz val="10"/>
      <color rgb="FFFFFFFF"/>
      <name val="Arial"/>
      <family val="2"/>
    </font>
    <font>
      <b/>
      <sz val="12"/>
      <name val="Arial"/>
      <family val="2"/>
    </font>
    <font>
      <b/>
      <sz val="16"/>
      <color theme="1"/>
      <name val="Segoe UI"/>
      <family val="2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Aptos Narrow"/>
      <family val="2"/>
      <charset val="1"/>
    </font>
    <font>
      <b/>
      <sz val="10"/>
      <color theme="0"/>
      <name val="Arial"/>
      <family val="2"/>
    </font>
    <font>
      <b/>
      <sz val="10"/>
      <color rgb="FF000000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b/>
      <sz val="20"/>
      <color theme="0"/>
      <name val="Arial"/>
      <family val="2"/>
    </font>
    <font>
      <b/>
      <sz val="12"/>
      <color theme="1"/>
      <name val="Aptos Narrow"/>
      <family val="2"/>
      <scheme val="minor"/>
    </font>
    <font>
      <b/>
      <sz val="18"/>
      <color theme="0"/>
      <name val="Arial"/>
      <family val="2"/>
    </font>
    <font>
      <b/>
      <sz val="14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0"/>
      <name val="Arial"/>
      <family val="2"/>
    </font>
    <font>
      <sz val="11"/>
      <color theme="1"/>
      <name val="Arial"/>
    </font>
    <font>
      <sz val="11"/>
      <color theme="0"/>
      <name val="Arial"/>
    </font>
  </fonts>
  <fills count="2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FFFFFF"/>
      </patternFill>
    </fill>
    <fill>
      <patternFill patternType="solid">
        <fgColor rgb="FFFF0000"/>
        <bgColor rgb="FFC00000"/>
      </patternFill>
    </fill>
    <fill>
      <patternFill patternType="solid">
        <fgColor rgb="FFD9EAD3"/>
        <bgColor rgb="FFD6E4F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1F3864"/>
        <bgColor rgb="FF404040"/>
      </patternFill>
    </fill>
    <fill>
      <patternFill patternType="solid">
        <fgColor rgb="FF1F3864"/>
        <bgColor rgb="FF0B3041"/>
      </patternFill>
    </fill>
    <fill>
      <patternFill patternType="solid">
        <fgColor rgb="FF2E75B6"/>
        <bgColor rgb="FF215F9A"/>
      </patternFill>
    </fill>
    <fill>
      <patternFill patternType="solid">
        <fgColor rgb="FFFFFFFF"/>
        <bgColor rgb="FFF2F2F2"/>
      </patternFill>
    </fill>
    <fill>
      <patternFill patternType="solid">
        <fgColor rgb="FFD6E4F7"/>
        <bgColor rgb="FFD9EAD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361"/>
        <bgColor indexed="64"/>
      </patternFill>
    </fill>
    <fill>
      <patternFill patternType="solid">
        <fgColor rgb="FFAC100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CAA24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 style="thin">
        <color theme="4" tint="0.39997558519241921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BFBFBF"/>
      </bottom>
      <diagonal/>
    </border>
  </borders>
  <cellStyleXfs count="3">
    <xf numFmtId="0" fontId="0" fillId="0" borderId="0"/>
    <xf numFmtId="9" fontId="22" fillId="0" borderId="0" applyFont="0" applyFill="0" applyBorder="0" applyAlignment="0" applyProtection="0"/>
    <xf numFmtId="0" fontId="28" fillId="0" borderId="0"/>
  </cellStyleXfs>
  <cellXfs count="128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wrapText="1"/>
    </xf>
    <xf numFmtId="0" fontId="19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0" xfId="0" applyFont="1"/>
    <xf numFmtId="0" fontId="20" fillId="0" borderId="0" xfId="0" applyFont="1" applyAlignment="1">
      <alignment horizontal="left" vertical="top" wrapText="1"/>
    </xf>
    <xf numFmtId="164" fontId="20" fillId="0" borderId="0" xfId="0" applyNumberFormat="1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10" borderId="6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9" fillId="16" borderId="8" xfId="0" applyFont="1" applyFill="1" applyBorder="1" applyAlignment="1">
      <alignment horizontal="left" vertical="center" wrapText="1"/>
    </xf>
    <xf numFmtId="14" fontId="10" fillId="16" borderId="8" xfId="0" applyNumberFormat="1" applyFont="1" applyFill="1" applyBorder="1" applyAlignment="1">
      <alignment horizontal="left" vertical="center" wrapText="1"/>
    </xf>
    <xf numFmtId="0" fontId="11" fillId="16" borderId="9" xfId="0" applyFont="1" applyFill="1" applyBorder="1" applyAlignment="1">
      <alignment horizontal="center" vertical="center" wrapText="1"/>
    </xf>
    <xf numFmtId="0" fontId="11" fillId="16" borderId="6" xfId="0" applyFont="1" applyFill="1" applyBorder="1" applyAlignment="1">
      <alignment horizontal="left" vertical="center" wrapText="1"/>
    </xf>
    <xf numFmtId="0" fontId="11" fillId="16" borderId="6" xfId="0" applyFont="1" applyFill="1" applyBorder="1" applyAlignment="1">
      <alignment horizontal="left" vertical="center"/>
    </xf>
    <xf numFmtId="0" fontId="15" fillId="4" borderId="8" xfId="0" applyFont="1" applyFill="1" applyBorder="1" applyAlignment="1">
      <alignment horizontal="center" vertical="center" wrapText="1"/>
    </xf>
    <xf numFmtId="164" fontId="14" fillId="16" borderId="8" xfId="0" applyNumberFormat="1" applyFont="1" applyFill="1" applyBorder="1" applyAlignment="1">
      <alignment horizontal="center" vertical="center"/>
    </xf>
    <xf numFmtId="0" fontId="12" fillId="16" borderId="8" xfId="0" applyFont="1" applyFill="1" applyBorder="1" applyAlignment="1">
      <alignment horizontal="center" vertical="center" wrapText="1"/>
    </xf>
    <xf numFmtId="0" fontId="13" fillId="8" borderId="8" xfId="0" applyFont="1" applyFill="1" applyBorder="1" applyAlignment="1">
      <alignment horizontal="center" vertical="center" wrapText="1"/>
    </xf>
    <xf numFmtId="0" fontId="11" fillId="16" borderId="9" xfId="0" applyFont="1" applyFill="1" applyBorder="1" applyAlignment="1">
      <alignment horizontal="center" vertical="center"/>
    </xf>
    <xf numFmtId="0" fontId="11" fillId="16" borderId="7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14" fontId="10" fillId="0" borderId="8" xfId="0" applyNumberFormat="1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/>
    </xf>
    <xf numFmtId="0" fontId="16" fillId="5" borderId="8" xfId="0" applyFont="1" applyFill="1" applyBorder="1" applyAlignment="1">
      <alignment horizontal="center" vertical="center" wrapText="1"/>
    </xf>
    <xf numFmtId="164" fontId="14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7" fillId="7" borderId="8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14" fontId="10" fillId="0" borderId="10" xfId="0" applyNumberFormat="1" applyFont="1" applyBorder="1" applyAlignment="1">
      <alignment horizontal="left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/>
    </xf>
    <xf numFmtId="0" fontId="15" fillId="4" borderId="10" xfId="0" applyFont="1" applyFill="1" applyBorder="1" applyAlignment="1">
      <alignment horizontal="center" vertical="center" wrapText="1"/>
    </xf>
    <xf numFmtId="164" fontId="14" fillId="0" borderId="10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8" fillId="10" borderId="6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/>
    </xf>
    <xf numFmtId="0" fontId="19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7" fillId="0" borderId="2" xfId="2" applyFont="1" applyBorder="1" applyAlignment="1">
      <alignment horizontal="left" vertical="center" wrapText="1"/>
    </xf>
    <xf numFmtId="0" fontId="27" fillId="0" borderId="2" xfId="0" applyFont="1" applyBorder="1" applyAlignment="1">
      <alignment horizontal="center" vertical="center" wrapText="1"/>
    </xf>
    <xf numFmtId="0" fontId="29" fillId="13" borderId="2" xfId="0" applyFont="1" applyFill="1" applyBorder="1" applyAlignment="1">
      <alignment horizontal="center" vertical="center"/>
    </xf>
    <xf numFmtId="0" fontId="29" fillId="13" borderId="2" xfId="0" applyFont="1" applyFill="1" applyBorder="1" applyAlignment="1">
      <alignment horizontal="center" vertical="center" wrapText="1"/>
    </xf>
    <xf numFmtId="0" fontId="24" fillId="0" borderId="0" xfId="0" applyFont="1"/>
    <xf numFmtId="0" fontId="11" fillId="0" borderId="0" xfId="0" applyFont="1"/>
    <xf numFmtId="0" fontId="29" fillId="2" borderId="0" xfId="0" applyFont="1" applyFill="1" applyAlignment="1">
      <alignment horizontal="left" vertical="center" wrapText="1"/>
    </xf>
    <xf numFmtId="0" fontId="31" fillId="0" borderId="0" xfId="0" applyFont="1" applyAlignment="1">
      <alignment vertical="center" wrapText="1"/>
    </xf>
    <xf numFmtId="0" fontId="25" fillId="17" borderId="0" xfId="0" applyFont="1" applyFill="1" applyAlignment="1">
      <alignment horizontal="center" vertical="center" wrapText="1"/>
    </xf>
    <xf numFmtId="0" fontId="32" fillId="0" borderId="2" xfId="2" applyFont="1" applyBorder="1" applyAlignment="1">
      <alignment horizontal="center" vertical="center" wrapText="1"/>
    </xf>
    <xf numFmtId="10" fontId="32" fillId="0" borderId="2" xfId="2" applyNumberFormat="1" applyFont="1" applyBorder="1" applyAlignment="1">
      <alignment horizontal="center" vertical="center" wrapText="1"/>
    </xf>
    <xf numFmtId="10" fontId="32" fillId="0" borderId="2" xfId="1" applyNumberFormat="1" applyFont="1" applyFill="1" applyBorder="1" applyAlignment="1">
      <alignment horizontal="center" vertical="center" wrapText="1"/>
    </xf>
    <xf numFmtId="9" fontId="32" fillId="0" borderId="2" xfId="2" applyNumberFormat="1" applyFont="1" applyBorder="1" applyAlignment="1">
      <alignment horizontal="center" vertical="center" wrapText="1"/>
    </xf>
    <xf numFmtId="9" fontId="32" fillId="0" borderId="2" xfId="1" applyFont="1" applyFill="1" applyBorder="1" applyAlignment="1">
      <alignment horizontal="center" vertical="center" wrapText="1"/>
    </xf>
    <xf numFmtId="9" fontId="0" fillId="0" borderId="0" xfId="1" applyFont="1"/>
    <xf numFmtId="0" fontId="26" fillId="0" borderId="2" xfId="0" applyFont="1" applyBorder="1" applyAlignment="1">
      <alignment horizontal="left" vertical="center" wrapText="1"/>
    </xf>
    <xf numFmtId="15" fontId="26" fillId="0" borderId="2" xfId="0" applyNumberFormat="1" applyFont="1" applyBorder="1" applyAlignment="1">
      <alignment horizontal="left" vertical="center" wrapText="1"/>
    </xf>
    <xf numFmtId="0" fontId="30" fillId="15" borderId="2" xfId="2" applyFont="1" applyFill="1" applyBorder="1" applyAlignment="1">
      <alignment horizontal="center" vertical="center" wrapText="1"/>
    </xf>
    <xf numFmtId="0" fontId="12" fillId="14" borderId="2" xfId="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5" fontId="26" fillId="0" borderId="2" xfId="0" applyNumberFormat="1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49" fontId="32" fillId="0" borderId="2" xfId="2" applyNumberFormat="1" applyFont="1" applyBorder="1" applyAlignment="1">
      <alignment horizontal="center" vertical="center" wrapText="1"/>
    </xf>
    <xf numFmtId="0" fontId="34" fillId="0" borderId="0" xfId="0" applyFont="1" applyAlignment="1">
      <alignment vertical="center" wrapText="1"/>
    </xf>
    <xf numFmtId="15" fontId="34" fillId="0" borderId="0" xfId="0" applyNumberFormat="1" applyFont="1" applyAlignment="1">
      <alignment vertical="center" wrapText="1"/>
    </xf>
    <xf numFmtId="0" fontId="34" fillId="0" borderId="0" xfId="0" applyFont="1"/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wrapText="1"/>
    </xf>
    <xf numFmtId="0" fontId="34" fillId="0" borderId="0" xfId="0" applyFont="1" applyAlignment="1">
      <alignment wrapText="1"/>
    </xf>
    <xf numFmtId="0" fontId="33" fillId="1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33" fillId="10" borderId="0" xfId="0" applyFont="1" applyFill="1" applyAlignment="1">
      <alignment horizontal="left" vertical="center" wrapText="1"/>
    </xf>
    <xf numFmtId="15" fontId="33" fillId="10" borderId="0" xfId="0" applyNumberFormat="1" applyFont="1" applyFill="1" applyAlignment="1">
      <alignment horizontal="left" vertical="center" wrapText="1"/>
    </xf>
    <xf numFmtId="0" fontId="33" fillId="10" borderId="0" xfId="0" applyFont="1" applyFill="1" applyAlignment="1">
      <alignment horizontal="left" vertical="center"/>
    </xf>
    <xf numFmtId="0" fontId="23" fillId="10" borderId="0" xfId="0" applyFont="1" applyFill="1" applyAlignment="1">
      <alignment horizontal="left" vertical="center"/>
    </xf>
    <xf numFmtId="0" fontId="0" fillId="0" borderId="0" xfId="0" pivotButton="1"/>
    <xf numFmtId="164" fontId="0" fillId="0" borderId="0" xfId="0" applyNumberFormat="1"/>
    <xf numFmtId="0" fontId="36" fillId="0" borderId="0" xfId="0" pivotButton="1" applyFont="1"/>
    <xf numFmtId="0" fontId="0" fillId="19" borderId="0" xfId="0" applyFill="1"/>
    <xf numFmtId="0" fontId="11" fillId="20" borderId="0" xfId="0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49" fontId="34" fillId="0" borderId="0" xfId="0" applyNumberFormat="1" applyFont="1" applyAlignment="1">
      <alignment horizontal="center" vertical="center"/>
    </xf>
    <xf numFmtId="0" fontId="37" fillId="17" borderId="0" xfId="0" applyFont="1" applyFill="1" applyAlignment="1">
      <alignment horizontal="center" vertical="center"/>
    </xf>
    <xf numFmtId="0" fontId="24" fillId="17" borderId="0" xfId="0" applyFont="1" applyFill="1" applyAlignment="1">
      <alignment horizontal="center" vertical="center"/>
    </xf>
    <xf numFmtId="0" fontId="40" fillId="18" borderId="0" xfId="0" applyFont="1" applyFill="1" applyAlignment="1">
      <alignment horizontal="center" vertical="center"/>
    </xf>
    <xf numFmtId="0" fontId="24" fillId="1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 wrapText="1"/>
    </xf>
    <xf numFmtId="0" fontId="17" fillId="12" borderId="13" xfId="0" applyFont="1" applyFill="1" applyBorder="1" applyAlignment="1">
      <alignment horizontal="center" vertical="center" wrapText="1"/>
    </xf>
    <xf numFmtId="0" fontId="17" fillId="12" borderId="0" xfId="2" applyFont="1" applyFill="1" applyAlignment="1">
      <alignment horizontal="center" vertical="center" wrapText="1"/>
    </xf>
    <xf numFmtId="0" fontId="35" fillId="18" borderId="0" xfId="0" applyFont="1" applyFill="1" applyAlignment="1">
      <alignment horizontal="center" vertical="center"/>
    </xf>
    <xf numFmtId="0" fontId="38" fillId="17" borderId="0" xfId="0" applyFont="1" applyFill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0" fontId="23" fillId="17" borderId="0" xfId="0" applyFont="1" applyFill="1" applyAlignment="1">
      <alignment horizontal="center" vertical="center"/>
    </xf>
    <xf numFmtId="0" fontId="0" fillId="0" borderId="0" xfId="0" applyNumberFormat="1"/>
    <xf numFmtId="0" fontId="41" fillId="0" borderId="0" xfId="0" pivotButton="1" applyFont="1"/>
    <xf numFmtId="0" fontId="41" fillId="21" borderId="0" xfId="0" applyFont="1" applyFill="1"/>
    <xf numFmtId="0" fontId="41" fillId="0" borderId="0" xfId="0" applyFont="1"/>
    <xf numFmtId="0" fontId="41" fillId="0" borderId="0" xfId="0" applyFont="1" applyAlignment="1">
      <alignment horizontal="left"/>
    </xf>
    <xf numFmtId="0" fontId="42" fillId="25" borderId="0" xfId="0" applyFont="1" applyFill="1"/>
    <xf numFmtId="0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42" fillId="22" borderId="0" xfId="0" applyFont="1" applyFill="1"/>
    <xf numFmtId="0" fontId="41" fillId="23" borderId="0" xfId="0" applyFont="1" applyFill="1"/>
    <xf numFmtId="0" fontId="41" fillId="24" borderId="0" xfId="0" applyFont="1" applyFill="1"/>
  </cellXfs>
  <cellStyles count="3">
    <cellStyle name="Normal" xfId="0" builtinId="0"/>
    <cellStyle name="Normal 2" xfId="2" xr:uid="{928EA40B-3ABE-44C3-9B1A-2165D6030C80}"/>
    <cellStyle name="Percent" xfId="1" builtinId="5"/>
  </cellStyles>
  <dxfs count="119">
    <dxf>
      <font>
        <color rgb="FFFF0000"/>
      </font>
    </dxf>
    <dxf>
      <fill>
        <patternFill patternType="solid">
          <bgColor rgb="FFAC100C"/>
        </patternFill>
      </fill>
    </dxf>
    <dxf>
      <font>
        <color theme="0"/>
      </font>
    </dxf>
    <dxf>
      <fill>
        <patternFill patternType="solid">
          <bgColor theme="3" tint="0.499984740745262"/>
        </patternFill>
      </fill>
    </dxf>
    <dxf>
      <font>
        <color rgb="FFFCAA24"/>
      </font>
    </dxf>
    <dxf>
      <fill>
        <patternFill patternType="solid">
          <bgColor theme="3" tint="0.499984740745262"/>
        </patternFill>
      </fill>
    </dxf>
    <dxf>
      <fill>
        <patternFill>
          <bgColor rgb="FFFCAA24"/>
        </patternFill>
      </fill>
    </dxf>
    <dxf>
      <font>
        <color theme="1"/>
      </font>
    </dxf>
    <dxf>
      <fill>
        <patternFill patternType="solid">
          <bgColor rgb="FFFFC361"/>
        </patternFill>
      </fill>
    </dxf>
    <dxf>
      <font>
        <name val="Arial"/>
        <scheme val="none"/>
      </font>
    </dxf>
    <dxf>
      <fill>
        <patternFill patternType="solid">
          <bgColor rgb="FFFF0000"/>
        </patternFill>
      </fill>
    </dxf>
    <dxf>
      <font>
        <color theme="0"/>
      </font>
    </dxf>
    <dxf>
      <alignment horizontal="center"/>
    </dxf>
    <dxf>
      <alignment vertical="center"/>
    </dxf>
    <dxf>
      <alignment horizontal="left"/>
    </dxf>
    <dxf>
      <alignment horizontal="center"/>
    </dxf>
    <dxf>
      <alignment vertical="center"/>
    </dxf>
    <dxf>
      <font>
        <b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solid">
          <bgColor rgb="FFAC100C"/>
        </patternFill>
      </fill>
    </dxf>
    <dxf>
      <font>
        <color theme="0"/>
      </font>
    </dxf>
    <dxf>
      <fill>
        <patternFill patternType="solid">
          <bgColor theme="3" tint="0.499984740745262"/>
        </patternFill>
      </fill>
    </dxf>
    <dxf>
      <font>
        <color rgb="FFFCAA24"/>
      </font>
    </dxf>
    <dxf>
      <fill>
        <patternFill patternType="solid">
          <bgColor theme="3" tint="0.499984740745262"/>
        </patternFill>
      </fill>
    </dxf>
    <dxf>
      <fill>
        <patternFill>
          <bgColor rgb="FFFCAA24"/>
        </patternFill>
      </fill>
    </dxf>
    <dxf>
      <font>
        <color theme="1"/>
      </font>
    </dxf>
    <dxf>
      <fill>
        <patternFill patternType="solid">
          <bgColor rgb="FFFFC361"/>
        </patternFill>
      </fill>
    </dxf>
    <dxf>
      <font>
        <name val="Arial"/>
        <scheme val="none"/>
      </font>
    </dxf>
    <dxf>
      <fill>
        <patternFill patternType="solid">
          <bgColor rgb="FFFF0000"/>
        </patternFill>
      </fill>
    </dxf>
    <dxf>
      <font>
        <color theme="0"/>
      </font>
    </dxf>
    <dxf>
      <alignment horizontal="center"/>
    </dxf>
    <dxf>
      <alignment vertical="center"/>
    </dxf>
    <dxf>
      <alignment horizontal="left"/>
    </dxf>
    <dxf>
      <alignment horizontal="center"/>
    </dxf>
    <dxf>
      <alignment vertical="center"/>
    </dxf>
    <dxf>
      <font>
        <b/>
      </font>
    </dxf>
    <dxf>
      <font>
        <sz val="1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FF0000"/>
      </font>
    </dxf>
    <dxf>
      <fill>
        <patternFill patternType="solid">
          <bgColor rgb="FFAC100C"/>
        </patternFill>
      </fill>
    </dxf>
    <dxf>
      <font>
        <color theme="0"/>
      </font>
    </dxf>
    <dxf>
      <fill>
        <patternFill patternType="solid">
          <bgColor theme="3" tint="0.499984740745262"/>
        </patternFill>
      </fill>
    </dxf>
    <dxf>
      <font>
        <color rgb="FFFCAA24"/>
      </font>
    </dxf>
    <dxf>
      <fill>
        <patternFill patternType="solid">
          <bgColor theme="3" tint="0.499984740745262"/>
        </patternFill>
      </fill>
    </dxf>
    <dxf>
      <fill>
        <patternFill>
          <bgColor rgb="FFFCAA24"/>
        </patternFill>
      </fill>
    </dxf>
    <dxf>
      <font>
        <color theme="1"/>
      </font>
    </dxf>
    <dxf>
      <fill>
        <patternFill patternType="solid">
          <bgColor rgb="FFFFC361"/>
        </patternFill>
      </fill>
    </dxf>
    <dxf>
      <font>
        <name val="Arial"/>
        <scheme val="none"/>
      </font>
    </dxf>
    <dxf>
      <fill>
        <patternFill patternType="solid">
          <bgColor rgb="FFFF0000"/>
        </patternFill>
      </fill>
    </dxf>
    <dxf>
      <font>
        <color theme="0"/>
      </font>
    </dxf>
    <dxf>
      <alignment horizontal="center"/>
    </dxf>
    <dxf>
      <alignment vertical="center"/>
    </dxf>
    <dxf>
      <alignment horizontal="left"/>
    </dxf>
    <dxf>
      <alignment horizontal="center"/>
    </dxf>
    <dxf>
      <alignment vertical="center"/>
    </dxf>
    <dxf>
      <font>
        <color rgb="FFFF0000"/>
      </font>
    </dxf>
    <dxf>
      <fill>
        <patternFill patternType="solid">
          <bgColor rgb="FFAC100C"/>
        </patternFill>
      </fill>
    </dxf>
    <dxf>
      <font>
        <color theme="0"/>
      </font>
    </dxf>
    <dxf>
      <fill>
        <patternFill patternType="solid">
          <bgColor theme="3" tint="0.499984740745262"/>
        </patternFill>
      </fill>
    </dxf>
    <dxf>
      <font>
        <color rgb="FFFCAA24"/>
      </font>
    </dxf>
    <dxf>
      <fill>
        <patternFill patternType="solid">
          <bgColor theme="3" tint="0.499984740745262"/>
        </patternFill>
      </fill>
    </dxf>
    <dxf>
      <fill>
        <patternFill>
          <bgColor rgb="FFFCAA24"/>
        </patternFill>
      </fill>
    </dxf>
    <dxf>
      <font>
        <color theme="1"/>
      </font>
    </dxf>
    <dxf>
      <fill>
        <patternFill patternType="solid">
          <bgColor rgb="FFFFC361"/>
        </patternFill>
      </fill>
    </dxf>
    <dxf>
      <font>
        <name val="Arial"/>
        <scheme val="none"/>
      </font>
    </dxf>
    <dxf>
      <fill>
        <patternFill patternType="solid">
          <bgColor rgb="FFFF0000"/>
        </patternFill>
      </fill>
    </dxf>
    <dxf>
      <font>
        <color theme="0"/>
      </font>
    </dxf>
    <dxf>
      <alignment horizontal="center"/>
    </dxf>
    <dxf>
      <alignment vertical="center"/>
    </dxf>
    <dxf>
      <alignment horizontal="left"/>
    </dxf>
    <dxf>
      <alignment horizont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E181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rgb="FF9C5700"/>
      </font>
      <fill>
        <patternFill>
          <bgColor theme="7" tint="0.79998168889431442"/>
        </patternFill>
      </fill>
    </dxf>
    <dxf>
      <font>
        <color theme="0" tint="-4.9989318521683403E-2"/>
      </font>
      <fill>
        <patternFill>
          <bgColor theme="9"/>
        </patternFill>
      </fill>
    </dxf>
    <dxf>
      <fill>
        <patternFill>
          <bgColor rgb="FFFCAA24"/>
        </patternFill>
      </fill>
    </dxf>
    <dxf>
      <font>
        <color theme="0"/>
      </font>
      <fill>
        <patternFill>
          <bgColor rgb="FFCA1E0C"/>
        </patternFill>
      </fill>
    </dxf>
    <dxf>
      <fill>
        <patternFill>
          <bgColor rgb="FFFFFF66"/>
        </patternFill>
      </fill>
      <border>
        <left/>
        <right/>
        <top/>
        <bottom/>
        <vertical/>
        <horizontal/>
      </border>
    </dxf>
    <dxf>
      <font>
        <color theme="1"/>
      </font>
      <fill>
        <patternFill>
          <bgColor rgb="FFFFC361"/>
        </patternFill>
      </fill>
    </dxf>
    <dxf>
      <font>
        <color theme="1"/>
      </font>
      <fill>
        <patternFill>
          <bgColor rgb="FFFF6174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AC100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indexed="64"/>
          <bgColor theme="8" tint="0.59999389629810485"/>
        </patternFill>
      </fill>
      <alignment horizontal="left" vertical="center" textRotation="0" wrapText="1" indent="0" justifyLastLine="0" shrinkToFit="0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2"/>
      </font>
    </dxf>
    <dxf>
      <font>
        <b/>
      </font>
    </dxf>
    <dxf>
      <alignment vertical="center"/>
    </dxf>
    <dxf>
      <alignment horizontal="center"/>
    </dxf>
    <dxf>
      <alignment horizontal="left"/>
    </dxf>
    <dxf>
      <alignment vertical="center"/>
    </dxf>
    <dxf>
      <alignment horizontal="center"/>
    </dxf>
    <dxf>
      <font>
        <color theme="0"/>
      </font>
    </dxf>
    <dxf>
      <fill>
        <patternFill patternType="solid">
          <bgColor rgb="FFFF0000"/>
        </patternFill>
      </fill>
    </dxf>
    <dxf>
      <font>
        <name val="Arial"/>
        <scheme val="none"/>
      </font>
    </dxf>
    <dxf>
      <fill>
        <patternFill patternType="solid">
          <bgColor rgb="FFFFC361"/>
        </patternFill>
      </fill>
    </dxf>
    <dxf>
      <font>
        <color theme="1"/>
      </font>
    </dxf>
    <dxf>
      <fill>
        <patternFill>
          <bgColor rgb="FFFCAA24"/>
        </patternFill>
      </fill>
    </dxf>
    <dxf>
      <fill>
        <patternFill patternType="solid">
          <bgColor theme="3" tint="0.499984740745262"/>
        </patternFill>
      </fill>
    </dxf>
    <dxf>
      <font>
        <color rgb="FFFCAA24"/>
      </font>
    </dxf>
    <dxf>
      <fill>
        <patternFill patternType="solid">
          <bgColor theme="3" tint="0.499984740745262"/>
        </patternFill>
      </fill>
    </dxf>
    <dxf>
      <font>
        <color theme="0"/>
      </font>
    </dxf>
    <dxf>
      <fill>
        <patternFill patternType="solid">
          <bgColor rgb="FFAC100C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FFFF66"/>
      <color rgb="FFFFC361"/>
      <color rgb="FFFCAA24"/>
      <color rgb="FFAC100C"/>
      <color rgb="FFF9C507"/>
      <color rgb="FFFFE181"/>
      <color rgb="FFFFFFCC"/>
      <color rgb="FFFFFF65"/>
      <color rgb="FFCA1E0C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490948397075363E-2"/>
          <c:y val="9.9764411978623152E-2"/>
          <c:w val="0.84068079674972152"/>
          <c:h val="0.72595180252359059"/>
        </c:manualLayout>
      </c:layout>
      <c:barChart>
        <c:barDir val="col"/>
        <c:grouping val="clustered"/>
        <c:varyColors val="0"/>
        <c:ser>
          <c:idx val="0"/>
          <c:order val="0"/>
          <c:tx>
            <c:v>Within acceptable limits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EBC6-44DC-9D56-42BB4562CF15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KRI RAG Status Summary</c:v>
              </c:pt>
            </c:strLit>
          </c:cat>
          <c:val>
            <c:numLit>
              <c:formatCode>General</c:formatCode>
              <c:ptCount val="1"/>
              <c:pt idx="0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EBC6-44DC-9D56-42BB4562CF15}"/>
            </c:ext>
          </c:extLst>
        </c:ser>
        <c:ser>
          <c:idx val="1"/>
          <c:order val="1"/>
          <c:tx>
            <c:v>Warning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CAA2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BC6-44DC-9D56-42BB4562CF15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KRI RAG Status Summary</c:v>
              </c:pt>
            </c:strLit>
          </c:cat>
          <c:val>
            <c:numLit>
              <c:formatCode>General</c:formatCode>
              <c:ptCount val="1"/>
              <c:pt idx="0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2-EBC6-44DC-9D56-42BB4562CF15}"/>
            </c:ext>
          </c:extLst>
        </c:ser>
        <c:ser>
          <c:idx val="2"/>
          <c:order val="2"/>
          <c:tx>
            <c:v>Breach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C100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BC6-44DC-9D56-42BB4562CF15}"/>
              </c:ext>
            </c:extLst>
          </c:dPt>
          <c:dLbls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"/>
              <c:pt idx="0">
                <c:v>KRI RAG Status Summary</c:v>
              </c:pt>
            </c:strLit>
          </c:cat>
          <c:val>
            <c:numLit>
              <c:formatCode>General</c:formatCode>
              <c:ptCount val="1"/>
              <c:pt idx="0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3-EBC6-44DC-9D56-42BB4562CF1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59074831"/>
        <c:axId val="1159058511"/>
      </c:barChart>
      <c:catAx>
        <c:axId val="1159074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058511"/>
        <c:crosses val="autoZero"/>
        <c:auto val="1"/>
        <c:lblAlgn val="ctr"/>
        <c:lblOffset val="100"/>
        <c:noMultiLvlLbl val="0"/>
      </c:catAx>
      <c:valAx>
        <c:axId val="1159058511"/>
        <c:scaling>
          <c:orientation val="minMax"/>
          <c:max val="1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RAGS  Event</a:t>
                </a:r>
                <a:r>
                  <a:rPr lang="en-IN" baseline="0"/>
                  <a:t> Status (Active)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9074831"/>
        <c:crosses val="autoZero"/>
        <c:crossBetween val="between"/>
        <c:majorUnit val="2"/>
      </c:valAx>
      <c:spPr>
        <a:gradFill flip="none" rotWithShape="1">
          <a:gsLst>
            <a:gs pos="0">
              <a:schemeClr val="accent1">
                <a:tint val="66000"/>
                <a:satMod val="160000"/>
              </a:schemeClr>
            </a:gs>
            <a:gs pos="50000">
              <a:schemeClr val="accent1">
                <a:tint val="44500"/>
                <a:satMod val="160000"/>
              </a:schemeClr>
            </a:gs>
            <a:gs pos="100000">
              <a:schemeClr val="accent1">
                <a:tint val="23500"/>
                <a:satMod val="160000"/>
              </a:schemeClr>
            </a:gs>
          </a:gsLst>
          <a:lin ang="8100000" scaled="1"/>
          <a:tileRect/>
        </a:gra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69675105352871"/>
          <c:y val="0.81113159542146951"/>
          <c:w val="0.15030336943922618"/>
          <c:h val="0.18886856820243009"/>
        </c:manualLayout>
      </c:layout>
      <c:overlay val="0"/>
      <c:spPr>
        <a:solidFill>
          <a:schemeClr val="tx2">
            <a:lumMod val="10000"/>
            <a:lumOff val="9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22860</xdr:rowOff>
    </xdr:from>
    <xdr:to>
      <xdr:col>17</xdr:col>
      <xdr:colOff>0</xdr:colOff>
      <xdr:row>22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1CF46F-2948-2176-1C10-2C0590CE9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ishwarya" refreshedDate="46156.854961921294" createdVersion="8" refreshedVersion="8" minRefreshableVersion="3" recordCount="20" xr:uid="{15B01E82-D982-4091-8A97-C64B000DA130}">
  <cacheSource type="worksheet">
    <worksheetSource ref="A2:N22" sheet="Risk Event Log"/>
  </cacheSource>
  <cacheFields count="14">
    <cacheField name="Event Ref no. " numFmtId="0">
      <sharedItems/>
    </cacheField>
    <cacheField name="Event Date" numFmtId="14">
      <sharedItems containsSemiMixedTypes="0" containsNonDate="0" containsDate="1" containsString="0" minDate="2025-01-08T00:00:00" maxDate="2025-11-16T00:00:00"/>
    </cacheField>
    <cacheField name="Business Unit" numFmtId="14">
      <sharedItems/>
    </cacheField>
    <cacheField name="Basel Level 1" numFmtId="0">
      <sharedItems count="5">
        <s v="6. Business Disruption &amp; System Failures"/>
        <s v="1. Internal Fraud"/>
        <s v="7. Execution, Delivery &amp; Process Management"/>
        <s v="2. External Fraud"/>
        <s v="4. Clients, Products &amp; Business Practices"/>
      </sharedItems>
    </cacheField>
    <cacheField name="Basel Level 2" numFmtId="0">
      <sharedItems/>
    </cacheField>
    <cacheField name="Incident Description" numFmtId="0">
      <sharedItems/>
    </cacheField>
    <cacheField name="Root Cause" numFmtId="0">
      <sharedItems/>
    </cacheField>
    <cacheField name="Detection Source" numFmtId="0">
      <sharedItems/>
    </cacheField>
    <cacheField name="Severity Level" numFmtId="0">
      <sharedItems count="4">
        <s v="High"/>
        <s v="Medium"/>
        <s v="Low"/>
        <s v="Critical"/>
      </sharedItems>
    </cacheField>
    <cacheField name="Financial Impact (USD)" numFmtId="164">
      <sharedItems containsSemiMixedTypes="0" containsString="0" containsNumber="1" containsInteger="1" minValue="0" maxValue="320000"/>
    </cacheField>
    <cacheField name="Regulatory Impact" numFmtId="0">
      <sharedItems count="2">
        <s v="YES"/>
        <s v="NO"/>
      </sharedItems>
    </cacheField>
    <cacheField name="Case Status" numFmtId="0">
      <sharedItems count="3">
        <s v="Closed"/>
        <s v="In Remediation"/>
        <s v="Escalated"/>
      </sharedItems>
    </cacheField>
    <cacheField name="Control Gap" numFmtId="0">
      <sharedItems/>
    </cacheField>
    <cacheField name=" Team  Hea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EVT-001"/>
    <d v="2025-01-08T00:00:00"/>
    <s v="Retail Banking"/>
    <x v="0"/>
    <s v="6A) Third-Party Vendor Failure"/>
    <s v="Payment processor outage caused a 4-hour service disruption"/>
    <s v="Vendor / Third-Party"/>
    <s v="Automated System Alert"/>
    <x v="0"/>
    <n v="320000"/>
    <x v="0"/>
    <x v="0"/>
    <s v="Vendor SLA monitoring absent"/>
    <s v="A. Mehta"/>
  </r>
  <r>
    <s v="EVT-002"/>
    <d v="2025-01-19T00:00:00"/>
    <s v="Technology"/>
    <x v="1"/>
    <s v="1A) Unauthorized Access"/>
    <s v="Unauthorized access attempt detected on internal risk system"/>
    <s v="Employee Conduct"/>
    <s v="Security Monitoring"/>
    <x v="1"/>
    <n v="0"/>
    <x v="0"/>
    <x v="0"/>
    <s v="Access review cycle too infrequent"/>
    <s v="R. Sharma"/>
  </r>
  <r>
    <s v="EVT-003"/>
    <d v="2025-02-03T00:00:00"/>
    <s v="Credit Risk"/>
    <x v="2"/>
    <s v="7B. Model Risk / Validation Failure"/>
    <s v="SME credit model produced inaccurate scoring outputs"/>
    <s v="Process &amp; Model Risk"/>
    <s v="Audit Review"/>
    <x v="0"/>
    <n v="150000"/>
    <x v="0"/>
    <x v="1"/>
    <s v="Model monitoring thresholds not defined"/>
    <s v="P. Gupta"/>
  </r>
  <r>
    <s v="EVT-004"/>
    <d v="2025-02-15T00:00:00"/>
    <s v="Operations"/>
    <x v="2"/>
    <s v="7A. Manual Processing Error"/>
    <s v="Duplicate transaction posted during manual reconciliation"/>
    <s v="Operational Process"/>
    <s v="Operations Review"/>
    <x v="2"/>
    <n v="8500"/>
    <x v="1"/>
    <x v="0"/>
    <s v="Maker-checker control missing for manual entries"/>
    <s v="S. Nair"/>
  </r>
  <r>
    <s v="EVT-005"/>
    <d v="2025-02-28T00:00:00"/>
    <s v="Compliance"/>
    <x v="2"/>
    <s v="7C. Regulatory Reporting Failure"/>
    <s v="CCAR filing delayed due to reporting data issue"/>
    <s v="Operational Process"/>
    <s v="Compliance Check"/>
    <x v="0"/>
    <n v="0"/>
    <x v="0"/>
    <x v="0"/>
    <s v="Regulatory reporting process lacks automated data feed"/>
    <s v="D. Patel"/>
  </r>
  <r>
    <s v="EVT-006"/>
    <d v="2025-03-11T00:00:00"/>
    <s v="Technology"/>
    <x v="3"/>
    <s v="2A. Phishing / Cyber Attack"/>
    <s v="Phishing email bypassed security filter and was opened by employees"/>
    <s v="Cyber / External Threat"/>
    <s v="Cyber Security Team"/>
    <x v="1"/>
    <n v="0"/>
    <x v="1"/>
    <x v="0"/>
    <s v="Cyber awareness training overdue"/>
    <s v="A. Mehta"/>
  </r>
  <r>
    <s v="EVT-007"/>
    <d v="2025-03-22T00:00:00"/>
    <s v="Retail Banking"/>
    <x v="2"/>
    <s v="7D. KYC / Documentation Deficiency"/>
    <s v="Customer onboarding completed without updated address documents"/>
    <s v="Operational Process"/>
    <s v="Compliance Check"/>
    <x v="1"/>
    <n v="0"/>
    <x v="0"/>
    <x v="1"/>
    <s v="KYC checklist not enforced during onboarding"/>
    <s v="R. Sharma"/>
  </r>
  <r>
    <s v="EVT-008"/>
    <d v="2025-05-02T00:00:00"/>
    <s v="Treasury"/>
    <x v="2"/>
    <s v="7E. Liquidity Limit Monitoring Failure"/>
    <s v="Liquidity buffer dropped below internal threshold for 3 hours"/>
    <s v="Limit Monitoring"/>
    <s v="Risk Monitoring"/>
    <x v="0"/>
    <n v="0"/>
    <x v="0"/>
    <x v="0"/>
    <s v="LCR alert threshold configured too close to limit"/>
    <s v="P. Gupta"/>
  </r>
  <r>
    <s v="EVT-009"/>
    <d v="2025-05-05T00:00:00"/>
    <s v="Operations"/>
    <x v="0"/>
    <s v="6B. Business Continuity Failure"/>
    <s v="BCP failover test exceeded recovery target by 40 minutes"/>
    <s v="Operational Process"/>
    <s v="BCP Testing"/>
    <x v="1"/>
    <n v="0"/>
    <x v="1"/>
    <x v="1"/>
    <s v="Failover runbook not updated after infra change"/>
    <s v="S. Nair"/>
  </r>
  <r>
    <s v="EVT-010"/>
    <d v="2025-05-15T00:00:00"/>
    <s v="Credit Risk"/>
    <x v="2"/>
    <s v="7F. Concentration Limit Breach"/>
    <s v="CRE exposure exceeded approved single-name limit"/>
    <s v="Limit Monitoring"/>
    <s v="Portfolio Oversight"/>
    <x v="0"/>
    <n v="0"/>
    <x v="0"/>
    <x v="0"/>
    <s v="Limit monitoring dependent on manual review"/>
    <s v="D. Patel"/>
  </r>
  <r>
    <s v="EVT-011"/>
    <d v="2025-05-18T00:00:00"/>
    <s v="Compliance"/>
    <x v="3"/>
    <s v="2B. AML / Suspicious Transaction Activity"/>
    <s v="Transaction monitoring flagged potential structuring activity"/>
    <s v="Cyber / External Threat"/>
    <s v="AML Monitoring"/>
    <x v="0"/>
    <n v="0"/>
    <x v="0"/>
    <x v="2"/>
    <s v="AML scenario tuning overdue"/>
    <s v="A. Mehta"/>
  </r>
  <r>
    <s v="EVT-012"/>
    <d v="2025-06-01T00:00:00"/>
    <s v="Technology"/>
    <x v="0"/>
    <s v="6C. System Processing Failure"/>
    <s v="Batch processing issue delayed overnight settlement by 2 hours"/>
    <s v="Vendor / Third-Party"/>
    <s v="Automated System Alert"/>
    <x v="1"/>
    <n v="45000"/>
    <x v="1"/>
    <x v="0"/>
    <s v="Batch scheduler lacks automated failover"/>
    <s v="R. Sharma"/>
  </r>
  <r>
    <s v="EVT-013"/>
    <d v="2025-06-20T00:00:00"/>
    <s v="Retail Banking"/>
    <x v="4"/>
    <s v="4A. Mis-selling / Suitability Issue"/>
    <s v="Customer complaint upheld for unsuitable product recommendation"/>
    <s v="Employee Conduct"/>
    <s v="Customer Escalation"/>
    <x v="1"/>
    <n v="12000"/>
    <x v="0"/>
    <x v="0"/>
    <s v="Suitability assessment process inconsistently applied"/>
    <s v="P. Gupta"/>
  </r>
  <r>
    <s v="EVT-014"/>
    <d v="2025-07-09T00:00:00"/>
    <s v="Operations"/>
    <x v="2"/>
    <s v="7G. Key Person Dependency"/>
    <s v="Critical process stopped due to dependency on single employee"/>
    <s v="Employee Conduct"/>
    <s v="Operational Oversight"/>
    <x v="2"/>
    <n v="5000"/>
    <x v="1"/>
    <x v="0"/>
    <s v="Process documentation and backup coverage inadequate"/>
    <s v="S. Nair"/>
  </r>
  <r>
    <s v="EVT-015"/>
    <d v="2025-07-25T00:00:00"/>
    <s v="Treasury"/>
    <x v="2"/>
    <s v="7H. Market / Trading Limit Breach"/>
    <s v="FX position exceeded approved overnight trading limit"/>
    <s v="Limit Monitoring"/>
    <s v="Risk Monitoring"/>
    <x v="0"/>
    <n v="0"/>
    <x v="0"/>
    <x v="0"/>
    <s v="Trading limit controls not enforced in real time"/>
    <s v="D. Patel"/>
  </r>
  <r>
    <s v="EVT-016"/>
    <d v="2025-08-12T00:00:00"/>
    <s v="Technology"/>
    <x v="1"/>
    <s v="1B. Data Privacy / Information Misuse"/>
    <s v="Customer data exported to unsecured external storage"/>
    <s v="Employee Conduct"/>
    <s v="Data Governance Team"/>
    <x v="3"/>
    <n v="0"/>
    <x v="0"/>
    <x v="2"/>
    <s v="DLP controls missing for bulk data exports"/>
    <s v="A. Mehta"/>
  </r>
  <r>
    <s v="EVT-017"/>
    <d v="2025-09-03T00:00:00"/>
    <s v="Credit Risk"/>
    <x v="2"/>
    <s v="7I. Credit Risk Assessment Error"/>
    <s v="Incorrect risk ratings assigned to commercial loan accounts"/>
    <s v="Process &amp; Model Risk"/>
    <s v="QA Review"/>
    <x v="1"/>
    <n v="0"/>
    <x v="1"/>
    <x v="0"/>
    <s v="Risk rating override approval bypass identified"/>
    <s v="R. Sharma"/>
  </r>
  <r>
    <s v="EVT-018"/>
    <d v="2025-09-19T00:00:00"/>
    <s v="Compliance"/>
    <x v="1"/>
    <s v="1C. Employee Conduct Violation"/>
    <s v="Employee traded during restricted blackout period"/>
    <s v="Employee Conduct"/>
    <s v="HR Review"/>
    <x v="0"/>
    <n v="0"/>
    <x v="0"/>
    <x v="0"/>
    <s v="Trade pre-clearance notification failure"/>
    <s v="P. Gupta"/>
  </r>
  <r>
    <s v="EVT-019"/>
    <d v="2025-10-07T00:00:00"/>
    <s v="Operations"/>
    <x v="0"/>
    <s v="6D. Supplier / Vendor Disruption"/>
    <s v="Supplier insolvency impacted critical vendor agreements"/>
    <s v="Vendor / Third-Party"/>
    <s v="Vendor Management Review"/>
    <x v="1"/>
    <n v="95000"/>
    <x v="1"/>
    <x v="1"/>
    <s v="Supplier concentration controls not defined"/>
    <s v="S. Nair"/>
  </r>
  <r>
    <s v="EVT-020"/>
    <d v="2025-11-15T00:00:00"/>
    <s v="Technology"/>
    <x v="2"/>
    <s v="7J. Change Management Failure"/>
    <s v="Production release deployed without CAB approval causing config issue"/>
    <s v="Operational Process"/>
    <s v="CAB Review"/>
    <x v="0"/>
    <n v="28000"/>
    <x v="1"/>
    <x v="0"/>
    <s v="Emergency change process bypassed"/>
    <s v="D. Pate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5A9564-8C27-4064-85B9-3B7804C71181}" name="Basel_x0009_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C15" firstHeaderRow="0" firstDataRow="1" firstDataCol="1" rowPageCount="3" colPageCount="1"/>
  <pivotFields count="14">
    <pivotField dataField="1" showAll="0"/>
    <pivotField numFmtId="14"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5">
        <item x="3"/>
        <item x="0"/>
        <item x="2"/>
        <item x="1"/>
        <item t="default"/>
      </items>
    </pivotField>
    <pivotField dataField="1" numFmtId="164" showAll="0"/>
    <pivotField axis="axisPage" multipleItemSelectionAllowed="1" showAll="0">
      <items count="3">
        <item x="1"/>
        <item x="0"/>
        <item t="default"/>
      </items>
    </pivotField>
    <pivotField axis="axisPage" multipleItemSelectionAllowed="1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3">
    <pageField fld="8" hier="-1"/>
    <pageField fld="11" hier="-1"/>
    <pageField fld="10" hier="-1"/>
  </pageFields>
  <dataFields count="2">
    <dataField name="Sum of Financial Impact (USD)" fld="9" baseField="0" baseItem="0" numFmtId="164"/>
    <dataField name="No of Events" fld="0" subtotal="count" baseField="3" baseItem="0"/>
  </dataFields>
  <formats count="4">
    <format dxfId="101">
      <pivotArea field="10" type="button" dataOnly="0" labelOnly="1" outline="0" axis="axisPage" fieldPosition="2"/>
    </format>
    <format dxfId="100">
      <pivotArea field="10" type="button" dataOnly="0" labelOnly="1" outline="0" axis="axisPage" fieldPosition="2"/>
    </format>
    <format dxfId="99">
      <pivotArea dataOnly="0" labelOnly="1" outline="0" fieldPosition="0">
        <references count="1">
          <reference field="8" count="0"/>
        </references>
      </pivotArea>
    </format>
    <format dxfId="98">
      <pivotArea dataOnly="0" labelOnly="1" outline="0" fieldPosition="0">
        <references count="2">
          <reference field="8" count="1" selected="0">
            <x v="1"/>
          </reference>
          <reference field="1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32B5C-A4D9-4C6C-9D15-F0589BECBCC2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BASEL Level 1 Risk heat" colHeaderCaption="">
  <location ref="A18:F25" firstHeaderRow="1" firstDataRow="2" firstDataCol="1"/>
  <pivotFields count="14">
    <pivotField dataField="1" showAll="0"/>
    <pivotField numFmtId="14" showAll="0"/>
    <pivotField showAll="0"/>
    <pivotField axis="axisRow" showAll="0">
      <items count="6">
        <item x="1"/>
        <item x="3"/>
        <item x="4"/>
        <item x="0"/>
        <item x="2"/>
        <item t="default"/>
      </items>
    </pivotField>
    <pivotField showAll="0"/>
    <pivotField showAll="0"/>
    <pivotField showAll="0"/>
    <pivotField showAll="0"/>
    <pivotField axis="axisCol" showAll="0">
      <items count="5">
        <item x="3"/>
        <item x="0"/>
        <item x="2"/>
        <item x="1"/>
        <item t="default"/>
      </items>
    </pivotField>
    <pivotField numFmtId="164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TATUS Check" fld="0" subtotal="count" baseField="0" baseItem="0"/>
  </dataFields>
  <formats count="17">
    <format dxfId="118">
      <pivotArea dataOnly="0" labelOnly="1" fieldPosition="0">
        <references count="1">
          <reference field="8" count="1">
            <x v="1"/>
          </reference>
        </references>
      </pivotArea>
    </format>
    <format dxfId="117">
      <pivotArea dataOnly="0" labelOnly="1" fieldPosition="0">
        <references count="1">
          <reference field="8" count="1">
            <x v="1"/>
          </reference>
        </references>
      </pivotArea>
    </format>
    <format dxfId="116">
      <pivotArea dataOnly="0" labelOnly="1" fieldPosition="0">
        <references count="1">
          <reference field="8" count="1">
            <x v="1"/>
          </reference>
        </references>
      </pivotArea>
    </format>
    <format dxfId="115">
      <pivotArea dataOnly="0" labelOnly="1" fieldPosition="0">
        <references count="1">
          <reference field="8" count="1">
            <x v="2"/>
          </reference>
        </references>
      </pivotArea>
    </format>
    <format dxfId="114">
      <pivotArea dataOnly="0" labelOnly="1" fieldPosition="0">
        <references count="1">
          <reference field="8" count="1">
            <x v="3"/>
          </reference>
        </references>
      </pivotArea>
    </format>
    <format dxfId="113">
      <pivotArea dataOnly="0" labelOnly="1" fieldPosition="0">
        <references count="1">
          <reference field="8" count="1">
            <x v="3"/>
          </reference>
        </references>
      </pivotArea>
    </format>
    <format dxfId="112">
      <pivotArea dataOnly="0" labelOnly="1" fieldPosition="0">
        <references count="1">
          <reference field="8" count="1">
            <x v="3"/>
          </reference>
        </references>
      </pivotArea>
    </format>
    <format dxfId="111">
      <pivotArea dataOnly="0" labelOnly="1" fieldPosition="0">
        <references count="1">
          <reference field="8" count="1">
            <x v="3"/>
          </reference>
        </references>
      </pivotArea>
    </format>
    <format dxfId="110">
      <pivotArea field="8" type="button" dataOnly="0" labelOnly="1" outline="0" axis="axisCol" fieldPosition="0"/>
    </format>
    <format dxfId="109">
      <pivotArea type="all" dataOnly="0" outline="0" fieldPosition="0"/>
    </format>
    <format dxfId="108">
      <pivotArea dataOnly="0" labelOnly="1" fieldPosition="0">
        <references count="1">
          <reference field="8" count="1">
            <x v="0"/>
          </reference>
        </references>
      </pivotArea>
    </format>
    <format dxfId="107">
      <pivotArea dataOnly="0" labelOnly="1" fieldPosition="0">
        <references count="1">
          <reference field="8" count="1">
            <x v="0"/>
          </reference>
        </references>
      </pivotArea>
    </format>
    <format dxfId="106">
      <pivotArea dataOnly="0" fieldPosition="0">
        <references count="1">
          <reference field="3" count="0"/>
        </references>
      </pivotArea>
    </format>
    <format dxfId="105">
      <pivotArea dataOnly="0" fieldPosition="0">
        <references count="1">
          <reference field="3" count="0"/>
        </references>
      </pivotArea>
    </format>
    <format dxfId="104">
      <pivotArea dataOnly="0" labelOnly="1" fieldPosition="0">
        <references count="1">
          <reference field="3" count="0"/>
        </references>
      </pivotArea>
    </format>
    <format dxfId="103">
      <pivotArea grandRow="1" outline="0" collapsedLevelsAreSubtotals="1" fieldPosition="0"/>
    </format>
    <format dxfId="102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EDFFC0-883F-45E7-9934-28826485B50E}" name="BASEL" displayName="BASEL" ref="A2:G11" totalsRowShown="0" headerRowDxfId="97" dataDxfId="96">
  <autoFilter ref="A2:G11" xr:uid="{1BEDFFC0-883F-45E7-9934-28826485B5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EBC0532C-F9DD-4D51-96A9-187CDE98A163}" name="1. Internal Fraud" dataDxfId="95"/>
    <tableColumn id="2" xr3:uid="{E8B05793-A0D8-4BE0-AA9B-9E443E1E3B25}" name="2. External Fraud" dataDxfId="94"/>
    <tableColumn id="3" xr3:uid="{72333308-25DA-493A-AFFF-EDF794A8DE1C}" name="3. Employment Practices  &amp; Workplace  Safety" dataDxfId="93"/>
    <tableColumn id="4" xr3:uid="{302CB6B5-57BC-4771-94C7-5C68F945A33A}" name="4. Clients, Products &amp; Business Practices" dataDxfId="92"/>
    <tableColumn id="5" xr3:uid="{302F3CFA-EB3A-46F0-B0BB-DA57E39FD384}" name="5. Damage to Physical Assets" dataDxfId="91"/>
    <tableColumn id="6" xr3:uid="{BA2067DA-16FE-45CA-8786-6D0A2B5A3F5C}" name="6. Business Disruption &amp; System Failures" dataDxfId="90"/>
    <tableColumn id="7" xr3:uid="{82F7E98C-3657-4767-8544-D4361092857E}" name="7. Execution, Delivery &amp; Process Management" dataDxfId="89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F3E8-FB29-4659-BA5E-28ADE484DE9B}">
  <sheetPr>
    <pageSetUpPr fitToPage="1"/>
  </sheetPr>
  <dimension ref="A1:O30"/>
  <sheetViews>
    <sheetView tabSelected="1" topLeftCell="A17" zoomScale="70" zoomScaleNormal="70" workbookViewId="0">
      <selection activeCell="B30" sqref="B30"/>
    </sheetView>
  </sheetViews>
  <sheetFormatPr defaultRowHeight="16.8" x14ac:dyDescent="0.4"/>
  <cols>
    <col min="1" max="1" width="17.33203125" style="1" customWidth="1"/>
    <col min="2" max="2" width="14.44140625" style="1" customWidth="1"/>
    <col min="3" max="3" width="17.109375" style="1" customWidth="1"/>
    <col min="4" max="4" width="21" style="1" bestFit="1" customWidth="1"/>
    <col min="5" max="5" width="18.5546875" style="55" bestFit="1" customWidth="1"/>
    <col min="6" max="6" width="56.44140625" style="1" bestFit="1" customWidth="1"/>
    <col min="7" max="7" width="22.21875" style="1" bestFit="1" customWidth="1"/>
    <col min="8" max="8" width="27.33203125" style="1" bestFit="1" customWidth="1"/>
    <col min="9" max="9" width="17.6640625" style="1" customWidth="1"/>
    <col min="10" max="10" width="27.21875" style="1" customWidth="1"/>
    <col min="11" max="11" width="22.5546875" style="1" customWidth="1"/>
    <col min="12" max="12" width="15.77734375" style="1" bestFit="1" customWidth="1"/>
    <col min="13" max="13" width="54.33203125" style="1" bestFit="1" customWidth="1"/>
    <col min="14" max="14" width="16" style="1" customWidth="1"/>
    <col min="15" max="15" width="22.109375" style="1" customWidth="1"/>
    <col min="16" max="17" width="8.88671875" style="1"/>
    <col min="18" max="18" width="27.21875" style="1" bestFit="1" customWidth="1"/>
    <col min="19" max="19" width="26" style="1" customWidth="1"/>
    <col min="20" max="20" width="34.44140625" style="1" customWidth="1"/>
    <col min="21" max="21" width="28.44140625" style="1" customWidth="1"/>
    <col min="22" max="23" width="34.88671875" style="1" customWidth="1"/>
    <col min="24" max="24" width="30.88671875" style="1" customWidth="1"/>
    <col min="25" max="16384" width="8.88671875" style="1"/>
  </cols>
  <sheetData>
    <row r="1" spans="1:15" ht="49.95" customHeight="1" x14ac:dyDescent="0.4">
      <c r="A1" s="108" t="s">
        <v>20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</row>
    <row r="2" spans="1:15" s="6" customFormat="1" ht="49.95" customHeight="1" x14ac:dyDescent="0.45">
      <c r="A2" s="14" t="s">
        <v>22</v>
      </c>
      <c r="B2" s="15" t="s">
        <v>21</v>
      </c>
      <c r="C2" s="15" t="s">
        <v>23</v>
      </c>
      <c r="D2" s="15" t="s">
        <v>24</v>
      </c>
      <c r="E2" s="54" t="s">
        <v>33</v>
      </c>
      <c r="F2" s="15" t="s">
        <v>25</v>
      </c>
      <c r="G2" s="15" t="s">
        <v>26</v>
      </c>
      <c r="H2" s="15" t="s">
        <v>27</v>
      </c>
      <c r="I2" s="15" t="s">
        <v>28</v>
      </c>
      <c r="J2" s="15" t="s">
        <v>29</v>
      </c>
      <c r="K2" s="15" t="s">
        <v>30</v>
      </c>
      <c r="L2" s="15" t="s">
        <v>31</v>
      </c>
      <c r="M2" s="15" t="s">
        <v>32</v>
      </c>
      <c r="N2" s="16" t="s">
        <v>144</v>
      </c>
    </row>
    <row r="3" spans="1:15" ht="49.95" customHeight="1" x14ac:dyDescent="0.4">
      <c r="A3" s="17" t="s">
        <v>0</v>
      </c>
      <c r="B3" s="18">
        <v>45665</v>
      </c>
      <c r="C3" s="18" t="s">
        <v>34</v>
      </c>
      <c r="D3" s="19" t="s">
        <v>44</v>
      </c>
      <c r="E3" s="20" t="s">
        <v>153</v>
      </c>
      <c r="F3" s="20" t="s">
        <v>54</v>
      </c>
      <c r="G3" s="20" t="s">
        <v>48</v>
      </c>
      <c r="H3" s="21" t="s">
        <v>74</v>
      </c>
      <c r="I3" s="22" t="s">
        <v>91</v>
      </c>
      <c r="J3" s="23">
        <v>320000</v>
      </c>
      <c r="K3" s="24" t="s">
        <v>101</v>
      </c>
      <c r="L3" s="25" t="s">
        <v>96</v>
      </c>
      <c r="M3" s="26" t="s">
        <v>102</v>
      </c>
      <c r="N3" s="27" t="s">
        <v>103</v>
      </c>
      <c r="O3" s="3"/>
    </row>
    <row r="4" spans="1:15" ht="49.95" customHeight="1" x14ac:dyDescent="0.4">
      <c r="A4" s="28" t="s">
        <v>1</v>
      </c>
      <c r="B4" s="29">
        <v>45676</v>
      </c>
      <c r="C4" s="29" t="s">
        <v>35</v>
      </c>
      <c r="D4" s="30" t="s">
        <v>40</v>
      </c>
      <c r="E4" s="31" t="s">
        <v>167</v>
      </c>
      <c r="F4" s="31" t="s">
        <v>55</v>
      </c>
      <c r="G4" s="31" t="s">
        <v>49</v>
      </c>
      <c r="H4" s="32" t="s">
        <v>75</v>
      </c>
      <c r="I4" s="33" t="s">
        <v>92</v>
      </c>
      <c r="J4" s="34">
        <v>0</v>
      </c>
      <c r="K4" s="35" t="s">
        <v>95</v>
      </c>
      <c r="L4" s="25" t="s">
        <v>96</v>
      </c>
      <c r="M4" s="36" t="s">
        <v>104</v>
      </c>
      <c r="N4" s="37" t="s">
        <v>105</v>
      </c>
      <c r="O4" s="3"/>
    </row>
    <row r="5" spans="1:15" ht="49.95" customHeight="1" x14ac:dyDescent="0.4">
      <c r="A5" s="17" t="s">
        <v>2</v>
      </c>
      <c r="B5" s="18">
        <v>45691</v>
      </c>
      <c r="C5" s="18" t="s">
        <v>36</v>
      </c>
      <c r="D5" s="19" t="s">
        <v>45</v>
      </c>
      <c r="E5" s="20" t="s">
        <v>127</v>
      </c>
      <c r="F5" s="20" t="s">
        <v>56</v>
      </c>
      <c r="G5" s="20" t="s">
        <v>50</v>
      </c>
      <c r="H5" s="21" t="s">
        <v>76</v>
      </c>
      <c r="I5" s="22" t="s">
        <v>91</v>
      </c>
      <c r="J5" s="23">
        <v>150000</v>
      </c>
      <c r="K5" s="24" t="s">
        <v>95</v>
      </c>
      <c r="L5" s="38" t="s">
        <v>97</v>
      </c>
      <c r="M5" s="26" t="s">
        <v>106</v>
      </c>
      <c r="N5" s="27" t="s">
        <v>107</v>
      </c>
      <c r="O5" s="3"/>
    </row>
    <row r="6" spans="1:15" ht="49.95" customHeight="1" x14ac:dyDescent="0.4">
      <c r="A6" s="28" t="s">
        <v>3</v>
      </c>
      <c r="B6" s="29">
        <v>45703</v>
      </c>
      <c r="C6" s="29" t="s">
        <v>37</v>
      </c>
      <c r="D6" s="30" t="s">
        <v>45</v>
      </c>
      <c r="E6" s="31" t="s">
        <v>128</v>
      </c>
      <c r="F6" s="31" t="s">
        <v>57</v>
      </c>
      <c r="G6" s="31" t="s">
        <v>51</v>
      </c>
      <c r="H6" s="32" t="s">
        <v>77</v>
      </c>
      <c r="I6" s="39" t="s">
        <v>93</v>
      </c>
      <c r="J6" s="34">
        <v>8500</v>
      </c>
      <c r="K6" s="35" t="s">
        <v>100</v>
      </c>
      <c r="L6" s="25" t="s">
        <v>96</v>
      </c>
      <c r="M6" s="36" t="s">
        <v>108</v>
      </c>
      <c r="N6" s="37" t="s">
        <v>109</v>
      </c>
      <c r="O6" s="3"/>
    </row>
    <row r="7" spans="1:15" ht="49.95" customHeight="1" x14ac:dyDescent="0.4">
      <c r="A7" s="17" t="s">
        <v>4</v>
      </c>
      <c r="B7" s="18">
        <v>45716</v>
      </c>
      <c r="C7" s="18" t="s">
        <v>38</v>
      </c>
      <c r="D7" s="19" t="s">
        <v>45</v>
      </c>
      <c r="E7" s="20" t="s">
        <v>129</v>
      </c>
      <c r="F7" s="20" t="s">
        <v>58</v>
      </c>
      <c r="G7" s="20" t="s">
        <v>51</v>
      </c>
      <c r="H7" s="21" t="s">
        <v>78</v>
      </c>
      <c r="I7" s="22" t="s">
        <v>91</v>
      </c>
      <c r="J7" s="23">
        <v>0</v>
      </c>
      <c r="K7" s="24" t="s">
        <v>95</v>
      </c>
      <c r="L7" s="25" t="s">
        <v>96</v>
      </c>
      <c r="M7" s="26" t="s">
        <v>110</v>
      </c>
      <c r="N7" s="27" t="s">
        <v>111</v>
      </c>
      <c r="O7" s="3"/>
    </row>
    <row r="8" spans="1:15" ht="49.95" customHeight="1" x14ac:dyDescent="0.4">
      <c r="A8" s="28" t="s">
        <v>5</v>
      </c>
      <c r="B8" s="29">
        <v>45727</v>
      </c>
      <c r="C8" s="29" t="s">
        <v>35</v>
      </c>
      <c r="D8" s="30" t="s">
        <v>41</v>
      </c>
      <c r="E8" s="31" t="s">
        <v>46</v>
      </c>
      <c r="F8" s="31" t="s">
        <v>59</v>
      </c>
      <c r="G8" s="31" t="s">
        <v>52</v>
      </c>
      <c r="H8" s="32" t="s">
        <v>79</v>
      </c>
      <c r="I8" s="33" t="s">
        <v>92</v>
      </c>
      <c r="J8" s="34">
        <v>0</v>
      </c>
      <c r="K8" s="35" t="s">
        <v>98</v>
      </c>
      <c r="L8" s="25" t="s">
        <v>96</v>
      </c>
      <c r="M8" s="36" t="s">
        <v>112</v>
      </c>
      <c r="N8" s="37" t="s">
        <v>103</v>
      </c>
      <c r="O8" s="3"/>
    </row>
    <row r="9" spans="1:15" ht="49.95" customHeight="1" x14ac:dyDescent="0.4">
      <c r="A9" s="17" t="s">
        <v>6</v>
      </c>
      <c r="B9" s="18">
        <v>45738</v>
      </c>
      <c r="C9" s="18" t="s">
        <v>34</v>
      </c>
      <c r="D9" s="19" t="s">
        <v>45</v>
      </c>
      <c r="E9" s="20" t="s">
        <v>130</v>
      </c>
      <c r="F9" s="20" t="s">
        <v>60</v>
      </c>
      <c r="G9" s="20" t="s">
        <v>51</v>
      </c>
      <c r="H9" s="21" t="s">
        <v>78</v>
      </c>
      <c r="I9" s="33" t="s">
        <v>92</v>
      </c>
      <c r="J9" s="23">
        <v>0</v>
      </c>
      <c r="K9" s="24" t="s">
        <v>95</v>
      </c>
      <c r="L9" s="38" t="s">
        <v>97</v>
      </c>
      <c r="M9" s="26" t="s">
        <v>113</v>
      </c>
      <c r="N9" s="27" t="s">
        <v>105</v>
      </c>
      <c r="O9" s="3"/>
    </row>
    <row r="10" spans="1:15" ht="49.95" customHeight="1" x14ac:dyDescent="0.4">
      <c r="A10" s="28" t="s">
        <v>7</v>
      </c>
      <c r="B10" s="29">
        <v>45779</v>
      </c>
      <c r="C10" s="29" t="s">
        <v>39</v>
      </c>
      <c r="D10" s="30" t="s">
        <v>45</v>
      </c>
      <c r="E10" s="31" t="s">
        <v>131</v>
      </c>
      <c r="F10" s="31" t="s">
        <v>61</v>
      </c>
      <c r="G10" s="31" t="s">
        <v>53</v>
      </c>
      <c r="H10" s="32" t="s">
        <v>80</v>
      </c>
      <c r="I10" s="22" t="s">
        <v>91</v>
      </c>
      <c r="J10" s="34">
        <v>0</v>
      </c>
      <c r="K10" s="35" t="s">
        <v>95</v>
      </c>
      <c r="L10" s="25" t="s">
        <v>96</v>
      </c>
      <c r="M10" s="36" t="s">
        <v>114</v>
      </c>
      <c r="N10" s="37" t="s">
        <v>107</v>
      </c>
      <c r="O10" s="3"/>
    </row>
    <row r="11" spans="1:15" ht="49.95" customHeight="1" x14ac:dyDescent="0.4">
      <c r="A11" s="17" t="s">
        <v>8</v>
      </c>
      <c r="B11" s="18">
        <v>45782</v>
      </c>
      <c r="C11" s="18" t="s">
        <v>37</v>
      </c>
      <c r="D11" s="19" t="s">
        <v>44</v>
      </c>
      <c r="E11" s="20" t="s">
        <v>132</v>
      </c>
      <c r="F11" s="20" t="s">
        <v>62</v>
      </c>
      <c r="G11" s="20" t="s">
        <v>51</v>
      </c>
      <c r="H11" s="21" t="s">
        <v>81</v>
      </c>
      <c r="I11" s="33" t="s">
        <v>92</v>
      </c>
      <c r="J11" s="23">
        <v>0</v>
      </c>
      <c r="K11" s="24" t="s">
        <v>98</v>
      </c>
      <c r="L11" s="38" t="s">
        <v>97</v>
      </c>
      <c r="M11" s="26" t="s">
        <v>115</v>
      </c>
      <c r="N11" s="27" t="s">
        <v>109</v>
      </c>
      <c r="O11" s="3"/>
    </row>
    <row r="12" spans="1:15" ht="49.95" customHeight="1" x14ac:dyDescent="0.4">
      <c r="A12" s="28" t="s">
        <v>9</v>
      </c>
      <c r="B12" s="29">
        <v>45792</v>
      </c>
      <c r="C12" s="29" t="s">
        <v>36</v>
      </c>
      <c r="D12" s="30" t="s">
        <v>45</v>
      </c>
      <c r="E12" s="31" t="s">
        <v>133</v>
      </c>
      <c r="F12" s="31" t="s">
        <v>63</v>
      </c>
      <c r="G12" s="31" t="s">
        <v>53</v>
      </c>
      <c r="H12" s="32" t="s">
        <v>82</v>
      </c>
      <c r="I12" s="22" t="s">
        <v>91</v>
      </c>
      <c r="J12" s="34">
        <v>0</v>
      </c>
      <c r="K12" s="35" t="s">
        <v>95</v>
      </c>
      <c r="L12" s="25" t="s">
        <v>96</v>
      </c>
      <c r="M12" s="36" t="s">
        <v>116</v>
      </c>
      <c r="N12" s="37" t="s">
        <v>111</v>
      </c>
      <c r="O12" s="3"/>
    </row>
    <row r="13" spans="1:15" ht="49.95" customHeight="1" x14ac:dyDescent="0.4">
      <c r="A13" s="17" t="s">
        <v>10</v>
      </c>
      <c r="B13" s="18">
        <v>45795</v>
      </c>
      <c r="C13" s="18" t="s">
        <v>38</v>
      </c>
      <c r="D13" s="19" t="s">
        <v>41</v>
      </c>
      <c r="E13" s="20" t="s">
        <v>134</v>
      </c>
      <c r="F13" s="20" t="s">
        <v>64</v>
      </c>
      <c r="G13" s="20" t="s">
        <v>52</v>
      </c>
      <c r="H13" s="21" t="s">
        <v>83</v>
      </c>
      <c r="I13" s="22" t="s">
        <v>91</v>
      </c>
      <c r="J13" s="23">
        <v>0</v>
      </c>
      <c r="K13" s="24" t="s">
        <v>95</v>
      </c>
      <c r="L13" s="40" t="s">
        <v>99</v>
      </c>
      <c r="M13" s="26" t="s">
        <v>117</v>
      </c>
      <c r="N13" s="27" t="s">
        <v>103</v>
      </c>
      <c r="O13" s="3"/>
    </row>
    <row r="14" spans="1:15" ht="49.95" customHeight="1" x14ac:dyDescent="0.4">
      <c r="A14" s="28" t="s">
        <v>11</v>
      </c>
      <c r="B14" s="29">
        <v>45809</v>
      </c>
      <c r="C14" s="29" t="s">
        <v>35</v>
      </c>
      <c r="D14" s="30" t="s">
        <v>44</v>
      </c>
      <c r="E14" s="31" t="s">
        <v>135</v>
      </c>
      <c r="F14" s="31" t="s">
        <v>65</v>
      </c>
      <c r="G14" s="31" t="s">
        <v>48</v>
      </c>
      <c r="H14" s="32" t="s">
        <v>74</v>
      </c>
      <c r="I14" s="33" t="s">
        <v>92</v>
      </c>
      <c r="J14" s="34">
        <v>45000</v>
      </c>
      <c r="K14" s="35" t="s">
        <v>98</v>
      </c>
      <c r="L14" s="25" t="s">
        <v>96</v>
      </c>
      <c r="M14" s="36" t="s">
        <v>118</v>
      </c>
      <c r="N14" s="37" t="s">
        <v>105</v>
      </c>
      <c r="O14" s="3"/>
    </row>
    <row r="15" spans="1:15" ht="49.95" customHeight="1" x14ac:dyDescent="0.4">
      <c r="A15" s="17" t="s">
        <v>12</v>
      </c>
      <c r="B15" s="18">
        <v>45828</v>
      </c>
      <c r="C15" s="18" t="s">
        <v>34</v>
      </c>
      <c r="D15" s="19" t="s">
        <v>42</v>
      </c>
      <c r="E15" s="20" t="s">
        <v>136</v>
      </c>
      <c r="F15" s="20" t="s">
        <v>66</v>
      </c>
      <c r="G15" s="20" t="s">
        <v>49</v>
      </c>
      <c r="H15" s="21" t="s">
        <v>84</v>
      </c>
      <c r="I15" s="33" t="s">
        <v>92</v>
      </c>
      <c r="J15" s="23">
        <v>12000</v>
      </c>
      <c r="K15" s="24" t="s">
        <v>95</v>
      </c>
      <c r="L15" s="25" t="s">
        <v>96</v>
      </c>
      <c r="M15" s="26" t="s">
        <v>119</v>
      </c>
      <c r="N15" s="27" t="s">
        <v>107</v>
      </c>
      <c r="O15" s="3"/>
    </row>
    <row r="16" spans="1:15" ht="49.95" customHeight="1" x14ac:dyDescent="0.4">
      <c r="A16" s="28" t="s">
        <v>13</v>
      </c>
      <c r="B16" s="29">
        <v>45847</v>
      </c>
      <c r="C16" s="29" t="s">
        <v>37</v>
      </c>
      <c r="D16" s="30" t="s">
        <v>45</v>
      </c>
      <c r="E16" s="31" t="s">
        <v>137</v>
      </c>
      <c r="F16" s="31" t="s">
        <v>67</v>
      </c>
      <c r="G16" s="31" t="s">
        <v>49</v>
      </c>
      <c r="H16" s="32" t="s">
        <v>85</v>
      </c>
      <c r="I16" s="39" t="s">
        <v>93</v>
      </c>
      <c r="J16" s="34">
        <v>5000</v>
      </c>
      <c r="K16" s="35" t="s">
        <v>98</v>
      </c>
      <c r="L16" s="25" t="s">
        <v>96</v>
      </c>
      <c r="M16" s="36" t="s">
        <v>120</v>
      </c>
      <c r="N16" s="37" t="s">
        <v>109</v>
      </c>
      <c r="O16" s="3"/>
    </row>
    <row r="17" spans="1:15" ht="49.95" customHeight="1" x14ac:dyDescent="0.4">
      <c r="A17" s="17" t="s">
        <v>14</v>
      </c>
      <c r="B17" s="18">
        <v>45863</v>
      </c>
      <c r="C17" s="18" t="s">
        <v>39</v>
      </c>
      <c r="D17" s="19" t="s">
        <v>45</v>
      </c>
      <c r="E17" s="20" t="s">
        <v>138</v>
      </c>
      <c r="F17" s="20" t="s">
        <v>68</v>
      </c>
      <c r="G17" s="20" t="s">
        <v>53</v>
      </c>
      <c r="H17" s="21" t="s">
        <v>80</v>
      </c>
      <c r="I17" s="22" t="s">
        <v>91</v>
      </c>
      <c r="J17" s="23">
        <v>0</v>
      </c>
      <c r="K17" s="24" t="s">
        <v>95</v>
      </c>
      <c r="L17" s="25" t="s">
        <v>96</v>
      </c>
      <c r="M17" s="26" t="s">
        <v>121</v>
      </c>
      <c r="N17" s="27" t="s">
        <v>111</v>
      </c>
      <c r="O17" s="3"/>
    </row>
    <row r="18" spans="1:15" ht="49.95" customHeight="1" x14ac:dyDescent="0.4">
      <c r="A18" s="28" t="s">
        <v>15</v>
      </c>
      <c r="B18" s="29">
        <v>45881</v>
      </c>
      <c r="C18" s="29" t="s">
        <v>35</v>
      </c>
      <c r="D18" s="30" t="s">
        <v>40</v>
      </c>
      <c r="E18" s="31" t="s">
        <v>139</v>
      </c>
      <c r="F18" s="31" t="s">
        <v>69</v>
      </c>
      <c r="G18" s="31" t="s">
        <v>49</v>
      </c>
      <c r="H18" s="32" t="s">
        <v>86</v>
      </c>
      <c r="I18" s="41" t="s">
        <v>94</v>
      </c>
      <c r="J18" s="34">
        <v>0</v>
      </c>
      <c r="K18" s="35" t="s">
        <v>95</v>
      </c>
      <c r="L18" s="40" t="s">
        <v>99</v>
      </c>
      <c r="M18" s="36" t="s">
        <v>122</v>
      </c>
      <c r="N18" s="37" t="s">
        <v>103</v>
      </c>
      <c r="O18" s="3"/>
    </row>
    <row r="19" spans="1:15" ht="49.95" customHeight="1" x14ac:dyDescent="0.4">
      <c r="A19" s="17" t="s">
        <v>16</v>
      </c>
      <c r="B19" s="18">
        <v>45903</v>
      </c>
      <c r="C19" s="18" t="s">
        <v>36</v>
      </c>
      <c r="D19" s="19" t="s">
        <v>45</v>
      </c>
      <c r="E19" s="20" t="s">
        <v>140</v>
      </c>
      <c r="F19" s="20" t="s">
        <v>70</v>
      </c>
      <c r="G19" s="20" t="s">
        <v>50</v>
      </c>
      <c r="H19" s="21" t="s">
        <v>87</v>
      </c>
      <c r="I19" s="33" t="s">
        <v>92</v>
      </c>
      <c r="J19" s="23">
        <v>0</v>
      </c>
      <c r="K19" s="24" t="s">
        <v>98</v>
      </c>
      <c r="L19" s="25" t="s">
        <v>96</v>
      </c>
      <c r="M19" s="26" t="s">
        <v>123</v>
      </c>
      <c r="N19" s="27" t="s">
        <v>105</v>
      </c>
      <c r="O19" s="3"/>
    </row>
    <row r="20" spans="1:15" ht="49.95" customHeight="1" x14ac:dyDescent="0.4">
      <c r="A20" s="28" t="s">
        <v>17</v>
      </c>
      <c r="B20" s="29">
        <v>45919</v>
      </c>
      <c r="C20" s="29" t="s">
        <v>38</v>
      </c>
      <c r="D20" s="30" t="s">
        <v>40</v>
      </c>
      <c r="E20" s="31" t="s">
        <v>141</v>
      </c>
      <c r="F20" s="31" t="s">
        <v>71</v>
      </c>
      <c r="G20" s="31" t="s">
        <v>49</v>
      </c>
      <c r="H20" s="32" t="s">
        <v>88</v>
      </c>
      <c r="I20" s="22" t="s">
        <v>91</v>
      </c>
      <c r="J20" s="34">
        <v>0</v>
      </c>
      <c r="K20" s="35" t="s">
        <v>95</v>
      </c>
      <c r="L20" s="25" t="s">
        <v>96</v>
      </c>
      <c r="M20" s="36" t="s">
        <v>124</v>
      </c>
      <c r="N20" s="37" t="s">
        <v>107</v>
      </c>
      <c r="O20" s="3"/>
    </row>
    <row r="21" spans="1:15" ht="49.95" customHeight="1" x14ac:dyDescent="0.4">
      <c r="A21" s="17" t="s">
        <v>18</v>
      </c>
      <c r="B21" s="18">
        <v>45937</v>
      </c>
      <c r="C21" s="18" t="s">
        <v>37</v>
      </c>
      <c r="D21" s="19" t="s">
        <v>44</v>
      </c>
      <c r="E21" s="20" t="s">
        <v>142</v>
      </c>
      <c r="F21" s="20" t="s">
        <v>72</v>
      </c>
      <c r="G21" s="20" t="s">
        <v>48</v>
      </c>
      <c r="H21" s="21" t="s">
        <v>89</v>
      </c>
      <c r="I21" s="33" t="s">
        <v>92</v>
      </c>
      <c r="J21" s="23">
        <v>95000</v>
      </c>
      <c r="K21" s="24" t="s">
        <v>98</v>
      </c>
      <c r="L21" s="38" t="s">
        <v>97</v>
      </c>
      <c r="M21" s="26" t="s">
        <v>125</v>
      </c>
      <c r="N21" s="27" t="s">
        <v>109</v>
      </c>
      <c r="O21" s="3"/>
    </row>
    <row r="22" spans="1:15" ht="49.95" customHeight="1" x14ac:dyDescent="0.4">
      <c r="A22" s="42" t="s">
        <v>19</v>
      </c>
      <c r="B22" s="43">
        <v>45976</v>
      </c>
      <c r="C22" s="43" t="s">
        <v>35</v>
      </c>
      <c r="D22" s="44" t="s">
        <v>45</v>
      </c>
      <c r="E22" s="45" t="s">
        <v>143</v>
      </c>
      <c r="F22" s="45" t="s">
        <v>73</v>
      </c>
      <c r="G22" s="45" t="s">
        <v>51</v>
      </c>
      <c r="H22" s="46" t="s">
        <v>90</v>
      </c>
      <c r="I22" s="47" t="s">
        <v>91</v>
      </c>
      <c r="J22" s="48">
        <v>28000</v>
      </c>
      <c r="K22" s="49" t="s">
        <v>98</v>
      </c>
      <c r="L22" s="50" t="s">
        <v>96</v>
      </c>
      <c r="M22" s="51" t="s">
        <v>126</v>
      </c>
      <c r="N22" s="52" t="s">
        <v>111</v>
      </c>
      <c r="O22" s="3"/>
    </row>
    <row r="23" spans="1:15" x14ac:dyDescent="0.4">
      <c r="A23" s="2"/>
      <c r="D23" s="4"/>
      <c r="E23" s="4"/>
      <c r="K23" s="3"/>
      <c r="L23" s="3"/>
    </row>
    <row r="24" spans="1:15" ht="19.2" x14ac:dyDescent="0.45">
      <c r="A24" s="9"/>
      <c r="B24" s="5"/>
      <c r="C24" s="5"/>
      <c r="K24" s="3"/>
      <c r="L24" s="3"/>
    </row>
    <row r="25" spans="1:15" ht="16.8" customHeight="1" x14ac:dyDescent="0.4">
      <c r="A25" s="109" t="s">
        <v>145</v>
      </c>
      <c r="B25" s="109"/>
      <c r="C25" s="109"/>
      <c r="D25" s="8"/>
      <c r="E25" s="56"/>
      <c r="F25" s="29"/>
      <c r="K25" s="3"/>
      <c r="L25" s="3"/>
    </row>
    <row r="26" spans="1:15" x14ac:dyDescent="0.4">
      <c r="A26" s="7" t="s">
        <v>146</v>
      </c>
      <c r="B26" s="11">
        <f>COUNTA(A3:A22)</f>
        <v>20</v>
      </c>
      <c r="C26" s="10"/>
      <c r="D26"/>
      <c r="E26" s="57"/>
    </row>
    <row r="27" spans="1:15" x14ac:dyDescent="0.4">
      <c r="A27" s="7" t="s">
        <v>147</v>
      </c>
      <c r="B27" s="11">
        <f>COUNTIF(I3:I22,"High")+COUNTIF(I3:I22,"Critical")</f>
        <v>10</v>
      </c>
      <c r="C27" s="10"/>
      <c r="D27"/>
      <c r="E27" s="57"/>
    </row>
    <row r="28" spans="1:15" ht="32.4" x14ac:dyDescent="0.4">
      <c r="A28" s="7" t="s">
        <v>148</v>
      </c>
      <c r="B28" s="11">
        <f>COUNTIF(K3:K22,"Yes")</f>
        <v>12</v>
      </c>
      <c r="C28" s="10"/>
      <c r="D28"/>
      <c r="E28" s="29"/>
    </row>
    <row r="29" spans="1:15" ht="32.4" x14ac:dyDescent="0.4">
      <c r="A29" s="7" t="s">
        <v>149</v>
      </c>
      <c r="B29" s="11">
        <f>COUNTIF(L3:L23,"In Remediation")+COUNTIF(L3:L23,"Escalated")</f>
        <v>6</v>
      </c>
      <c r="C29" s="10"/>
      <c r="D29"/>
      <c r="E29" s="57"/>
    </row>
    <row r="30" spans="1:15" ht="32.4" x14ac:dyDescent="0.4">
      <c r="A30" s="7" t="s">
        <v>150</v>
      </c>
      <c r="B30" s="12">
        <f>SUM(J3:J22)</f>
        <v>663500</v>
      </c>
      <c r="C30" s="10"/>
      <c r="D30"/>
      <c r="E30" s="57"/>
    </row>
  </sheetData>
  <mergeCells count="2">
    <mergeCell ref="A1:N1"/>
    <mergeCell ref="A25:C25"/>
  </mergeCells>
  <phoneticPr fontId="2" type="noConversion"/>
  <conditionalFormatting sqref="I3:I22">
    <cfRule type="cellIs" dxfId="88" priority="2" operator="equal">
      <formula>"Critical"</formula>
    </cfRule>
    <cfRule type="cellIs" dxfId="87" priority="3" operator="equal">
      <formula>"Low"</formula>
    </cfRule>
    <cfRule type="cellIs" dxfId="86" priority="4" operator="equal">
      <formula>"High"</formula>
    </cfRule>
    <cfRule type="cellIs" dxfId="85" priority="5" operator="equal">
      <formula>"Medium"</formula>
    </cfRule>
  </conditionalFormatting>
  <conditionalFormatting sqref="K3:K22">
    <cfRule type="cellIs" dxfId="84" priority="1" operator="equal">
      <formula>"Yes"</formula>
    </cfRule>
  </conditionalFormatting>
  <dataValidations count="3">
    <dataValidation type="list" allowBlank="1" showInputMessage="1" showErrorMessage="1" sqref="K3:K22" xr:uid="{8758FA4D-116E-4BDB-BA6B-09F58974450C}">
      <formula1>"YES,NO"</formula1>
    </dataValidation>
    <dataValidation type="list" allowBlank="1" showInputMessage="1" showErrorMessage="1" sqref="L3:L22" xr:uid="{27BAAFB1-1F11-4461-A235-0DA0E45BA924}">
      <formula1>"Closed,In Remediation,Escalated"</formula1>
    </dataValidation>
    <dataValidation type="list" allowBlank="1" showInputMessage="1" showErrorMessage="1" sqref="I3:I22" xr:uid="{D0278763-7651-4FF8-9AC2-1200EAADA5B2}">
      <formula1>$I$3:$I$22</formula1>
    </dataValidation>
  </dataValidations>
  <pageMargins left="0.7" right="0.7" top="0.75" bottom="0.75" header="0.3" footer="0.3"/>
  <pageSetup scale="25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676ED76-83F7-4CC8-B28C-2274C6F6A8D7}">
          <x14:formula1>
            <xm:f>'Reference &amp; Linkage Map'!$A$2:$G$2</xm:f>
          </x14:formula1>
          <xm:sqref>D3:D23</xm:sqref>
        </x14:dataValidation>
        <x14:dataValidation type="list" allowBlank="1" showInputMessage="1" showErrorMessage="1" xr:uid="{53E0DE69-0EEB-4915-8AEE-B68E8A8DF812}">
          <x14:formula1>
            <xm:f>_xlfn.XLOOKUP(D3,'Reference &amp; Linkage Map'!$A$2:$G$2,'Reference &amp; Linkage Map'!$A$3:$G$11)</xm:f>
          </x14:formula1>
          <xm:sqref>E3:E23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036E4-15DC-4799-935E-F291DAAD8410}">
  <dimension ref="A1:Q20"/>
  <sheetViews>
    <sheetView topLeftCell="A7" workbookViewId="0">
      <selection activeCell="K12" sqref="K12"/>
    </sheetView>
  </sheetViews>
  <sheetFormatPr defaultRowHeight="14.4" x14ac:dyDescent="0.3"/>
  <cols>
    <col min="1" max="1" width="9.21875" customWidth="1"/>
    <col min="2" max="2" width="13.21875" bestFit="1" customWidth="1"/>
    <col min="3" max="3" width="31" bestFit="1" customWidth="1"/>
    <col min="4" max="4" width="25" bestFit="1" customWidth="1"/>
    <col min="5" max="5" width="28.109375" bestFit="1" customWidth="1"/>
    <col min="6" max="6" width="15.33203125" customWidth="1"/>
    <col min="7" max="7" width="9.77734375" bestFit="1" customWidth="1"/>
    <col min="8" max="8" width="13.21875" customWidth="1"/>
    <col min="9" max="9" width="9.77734375" bestFit="1" customWidth="1"/>
    <col min="10" max="10" width="10.5546875" customWidth="1"/>
    <col min="11" max="11" width="7.33203125" customWidth="1"/>
    <col min="12" max="12" width="11.5546875" bestFit="1" customWidth="1"/>
    <col min="13" max="13" width="37.33203125" customWidth="1"/>
    <col min="14" max="14" width="11.77734375" style="77" bestFit="1" customWidth="1"/>
    <col min="15" max="16" width="11.5546875" bestFit="1" customWidth="1"/>
  </cols>
  <sheetData>
    <row r="1" spans="1:17" ht="36" customHeight="1" x14ac:dyDescent="0.3">
      <c r="A1" s="110" t="s">
        <v>425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</row>
    <row r="2" spans="1:17" s="62" customFormat="1" ht="36" customHeight="1" x14ac:dyDescent="0.3">
      <c r="A2" s="60" t="s">
        <v>180</v>
      </c>
      <c r="B2" s="60" t="s">
        <v>23</v>
      </c>
      <c r="C2" s="60" t="s">
        <v>175</v>
      </c>
      <c r="D2" s="60" t="s">
        <v>176</v>
      </c>
      <c r="E2" s="61" t="s">
        <v>177</v>
      </c>
      <c r="F2" s="61" t="s">
        <v>181</v>
      </c>
      <c r="G2" s="61" t="s">
        <v>182</v>
      </c>
      <c r="H2" s="61" t="s">
        <v>183</v>
      </c>
      <c r="I2" s="61" t="s">
        <v>184</v>
      </c>
      <c r="J2" s="61" t="s">
        <v>185</v>
      </c>
      <c r="K2" s="61" t="s">
        <v>186</v>
      </c>
      <c r="L2" s="61" t="s">
        <v>187</v>
      </c>
      <c r="M2" s="61" t="s">
        <v>178</v>
      </c>
      <c r="N2" s="61" t="s">
        <v>144</v>
      </c>
      <c r="O2" s="61" t="s">
        <v>179</v>
      </c>
    </row>
    <row r="3" spans="1:17" ht="36" customHeight="1" x14ac:dyDescent="0.3">
      <c r="A3" t="s">
        <v>188</v>
      </c>
      <c r="B3" t="s">
        <v>34</v>
      </c>
      <c r="C3" s="13" t="s">
        <v>404</v>
      </c>
      <c r="D3" s="58" t="s">
        <v>45</v>
      </c>
      <c r="E3" s="58" t="s">
        <v>405</v>
      </c>
      <c r="F3" s="59" t="s">
        <v>217</v>
      </c>
      <c r="G3" s="67" t="s">
        <v>229</v>
      </c>
      <c r="H3" s="71" t="s">
        <v>271</v>
      </c>
      <c r="I3" s="67" t="s">
        <v>270</v>
      </c>
      <c r="J3" s="68">
        <v>5.1999999999999998E-2</v>
      </c>
      <c r="K3" s="72" t="str" cm="1">
        <f t="array" ref="K3">_xlfn.IFS(J3&lt;3%,"Green",AND(J3&gt;=3%,J3&lt;=8%),"Amber",J3&gt;8%,"Red")</f>
        <v>Amber</v>
      </c>
      <c r="L3" s="79"/>
      <c r="M3" s="58" t="s">
        <v>259</v>
      </c>
      <c r="N3" s="77" t="s">
        <v>105</v>
      </c>
      <c r="O3" s="78">
        <v>45777</v>
      </c>
    </row>
    <row r="4" spans="1:17" ht="36" customHeight="1" x14ac:dyDescent="0.3">
      <c r="A4" t="s">
        <v>189</v>
      </c>
      <c r="B4" t="s">
        <v>35</v>
      </c>
      <c r="C4" s="13" t="s">
        <v>200</v>
      </c>
      <c r="D4" s="58" t="s">
        <v>44</v>
      </c>
      <c r="E4" s="58" t="s">
        <v>406</v>
      </c>
      <c r="F4" s="59" t="s">
        <v>217</v>
      </c>
      <c r="G4" s="67">
        <v>0</v>
      </c>
      <c r="H4" s="68" t="s">
        <v>249</v>
      </c>
      <c r="I4" s="67" t="s">
        <v>250</v>
      </c>
      <c r="J4" s="69">
        <v>0.99909999999999999</v>
      </c>
      <c r="K4" t="str" cm="1">
        <f t="array" ref="K4">_xlfn.IFS(J4&lt;0.995,"Red",AND(J4&gt;=0.995,J4&lt;=0.999),"Amber",J4&gt;0.999,"Green")</f>
        <v>Green</v>
      </c>
      <c r="L4" s="79"/>
      <c r="M4" s="58" t="s">
        <v>260</v>
      </c>
      <c r="N4" s="77" t="s">
        <v>103</v>
      </c>
      <c r="O4" s="78">
        <v>45777</v>
      </c>
    </row>
    <row r="5" spans="1:17" ht="36" customHeight="1" x14ac:dyDescent="0.3">
      <c r="A5" t="s">
        <v>190</v>
      </c>
      <c r="B5" t="s">
        <v>36</v>
      </c>
      <c r="C5" s="13" t="s">
        <v>201</v>
      </c>
      <c r="D5" s="58" t="s">
        <v>45</v>
      </c>
      <c r="E5" s="58" t="s">
        <v>211</v>
      </c>
      <c r="F5" s="59" t="s">
        <v>217</v>
      </c>
      <c r="G5" s="67" t="s">
        <v>230</v>
      </c>
      <c r="H5" s="67" t="s">
        <v>218</v>
      </c>
      <c r="I5" s="67" t="s">
        <v>251</v>
      </c>
      <c r="J5" s="67">
        <v>0.112</v>
      </c>
      <c r="K5" t="str" cm="1">
        <f t="array" ref="K5">_xlfn.IFS(J5&lt;5%,"Green",AND(J5&gt;=5%,J5&lt;=10%),"Amber",J5&gt;10%,"Red")</f>
        <v>Red</v>
      </c>
      <c r="L5" s="74">
        <v>45731</v>
      </c>
      <c r="M5" s="58" t="s">
        <v>261</v>
      </c>
      <c r="N5" s="77" t="s">
        <v>107</v>
      </c>
      <c r="O5" s="78">
        <v>45747</v>
      </c>
    </row>
    <row r="6" spans="1:17" ht="36" customHeight="1" x14ac:dyDescent="0.3">
      <c r="A6" t="s">
        <v>191</v>
      </c>
      <c r="B6" t="s">
        <v>38</v>
      </c>
      <c r="C6" s="13" t="s">
        <v>202</v>
      </c>
      <c r="D6" s="58" t="s">
        <v>45</v>
      </c>
      <c r="E6" s="58" t="s">
        <v>212</v>
      </c>
      <c r="F6" s="59" t="s">
        <v>217</v>
      </c>
      <c r="G6" s="67">
        <v>0</v>
      </c>
      <c r="H6" s="67" t="s">
        <v>219</v>
      </c>
      <c r="I6" s="67" t="s">
        <v>252</v>
      </c>
      <c r="J6" s="67">
        <v>1</v>
      </c>
      <c r="K6" t="str" cm="1">
        <f t="array" ref="K6">_xlfn.IFS(J6=0,"Green",AND(J6&gt;=1,J6&lt;=2),"Amber",J6&gt;2,"Red")</f>
        <v>Amber</v>
      </c>
      <c r="L6" s="73"/>
      <c r="M6" s="58" t="s">
        <v>262</v>
      </c>
      <c r="N6" s="77" t="s">
        <v>111</v>
      </c>
      <c r="O6" s="78">
        <v>45777</v>
      </c>
    </row>
    <row r="7" spans="1:17" ht="36" customHeight="1" x14ac:dyDescent="0.3">
      <c r="A7" t="s">
        <v>192</v>
      </c>
      <c r="B7" t="s">
        <v>35</v>
      </c>
      <c r="C7" s="13" t="s">
        <v>203</v>
      </c>
      <c r="D7" s="58" t="s">
        <v>41</v>
      </c>
      <c r="E7" s="58" t="s">
        <v>213</v>
      </c>
      <c r="F7" s="59" t="s">
        <v>220</v>
      </c>
      <c r="G7" s="67" t="s">
        <v>231</v>
      </c>
      <c r="H7" s="67" t="s">
        <v>221</v>
      </c>
      <c r="I7" s="67" t="s">
        <v>253</v>
      </c>
      <c r="J7" s="69">
        <v>4.1000000000000002E-2</v>
      </c>
      <c r="K7" t="str" cm="1">
        <f t="array" ref="K7">_xlfn.IFS(J7&lt;2%,"Green",AND(J7&gt;=2%,J7&lt;=5%),"Amber",J7&gt;5%,"Red")</f>
        <v>Amber</v>
      </c>
      <c r="L7" s="73"/>
      <c r="M7" s="58" t="s">
        <v>263</v>
      </c>
      <c r="N7" s="77" t="s">
        <v>103</v>
      </c>
      <c r="O7" s="78">
        <v>45777</v>
      </c>
    </row>
    <row r="8" spans="1:17" ht="36" customHeight="1" x14ac:dyDescent="0.3">
      <c r="A8" t="s">
        <v>193</v>
      </c>
      <c r="B8" t="s">
        <v>37</v>
      </c>
      <c r="C8" s="13" t="s">
        <v>204</v>
      </c>
      <c r="D8" s="58" t="s">
        <v>45</v>
      </c>
      <c r="E8" s="58" t="s">
        <v>214</v>
      </c>
      <c r="F8" s="59" t="s">
        <v>222</v>
      </c>
      <c r="G8" s="67">
        <v>0</v>
      </c>
      <c r="H8" s="67" t="s">
        <v>223</v>
      </c>
      <c r="I8" s="67" t="s">
        <v>254</v>
      </c>
      <c r="J8" s="67">
        <v>2</v>
      </c>
      <c r="K8" t="str" cm="1">
        <f t="array" ref="K8">_xlfn.IFS(J8=0,"Green",AND(J8&gt;=1,J8&lt;=3),"Amber",J8&gt;3,"Red")</f>
        <v>Amber</v>
      </c>
      <c r="L8" s="73"/>
      <c r="M8" s="58" t="s">
        <v>264</v>
      </c>
      <c r="N8" s="77" t="s">
        <v>109</v>
      </c>
      <c r="O8" s="78">
        <v>45777</v>
      </c>
    </row>
    <row r="9" spans="1:17" ht="36" customHeight="1" x14ac:dyDescent="0.3">
      <c r="A9" t="s">
        <v>194</v>
      </c>
      <c r="B9" t="s">
        <v>39</v>
      </c>
      <c r="C9" s="13" t="s">
        <v>205</v>
      </c>
      <c r="D9" s="58" t="s">
        <v>44</v>
      </c>
      <c r="E9" s="58" t="s">
        <v>407</v>
      </c>
      <c r="F9" s="59" t="s">
        <v>222</v>
      </c>
      <c r="G9" s="67">
        <v>0</v>
      </c>
      <c r="H9" s="67" t="s">
        <v>224</v>
      </c>
      <c r="I9" s="67" t="s">
        <v>255</v>
      </c>
      <c r="J9" s="70">
        <v>0.62</v>
      </c>
      <c r="K9" t="str" cm="1">
        <f t="array" ref="K9">_xlfn.IFS(J9&gt;0.85,"Red",AND(J9&gt;=0.7,J9&lt;=0.85),"Amber",J9&lt;0.7,"Green")</f>
        <v>Green</v>
      </c>
      <c r="L9" s="73"/>
      <c r="M9" s="58" t="s">
        <v>260</v>
      </c>
      <c r="N9" s="77" t="s">
        <v>107</v>
      </c>
      <c r="O9" s="78">
        <v>45777</v>
      </c>
    </row>
    <row r="10" spans="1:17" ht="36" customHeight="1" x14ac:dyDescent="0.3">
      <c r="A10" t="s">
        <v>195</v>
      </c>
      <c r="B10" t="s">
        <v>34</v>
      </c>
      <c r="C10" s="13" t="s">
        <v>206</v>
      </c>
      <c r="D10" s="58" t="s">
        <v>42</v>
      </c>
      <c r="E10" s="58" t="s">
        <v>215</v>
      </c>
      <c r="F10" s="59" t="s">
        <v>217</v>
      </c>
      <c r="G10" s="67" t="s">
        <v>230</v>
      </c>
      <c r="H10" s="67" t="s">
        <v>218</v>
      </c>
      <c r="I10" s="67" t="s">
        <v>251</v>
      </c>
      <c r="J10" s="68">
        <v>7.2999999999999995E-2</v>
      </c>
      <c r="K10" t="str" cm="1">
        <f t="array" ref="K10">_xlfn.IFS(J10&lt;5%,"Green",AND(J10&gt;=5%,J10&lt;=10%),"Amber",J10&gt;10%,"Red")</f>
        <v>Amber</v>
      </c>
      <c r="L10" s="73"/>
      <c r="M10" s="58" t="s">
        <v>265</v>
      </c>
      <c r="N10" s="77" t="s">
        <v>105</v>
      </c>
      <c r="O10" s="78">
        <v>45747</v>
      </c>
    </row>
    <row r="11" spans="1:17" ht="36" customHeight="1" x14ac:dyDescent="0.3">
      <c r="A11" t="s">
        <v>196</v>
      </c>
      <c r="B11" t="s">
        <v>35</v>
      </c>
      <c r="C11" s="13" t="s">
        <v>207</v>
      </c>
      <c r="D11" s="58" t="s">
        <v>44</v>
      </c>
      <c r="E11" s="58" t="s">
        <v>412</v>
      </c>
      <c r="F11" s="59" t="s">
        <v>217</v>
      </c>
      <c r="G11" s="67" t="s">
        <v>232</v>
      </c>
      <c r="H11" s="67" t="s">
        <v>428</v>
      </c>
      <c r="I11" s="67" t="s">
        <v>427</v>
      </c>
      <c r="J11" s="68">
        <v>0.98</v>
      </c>
      <c r="K11" t="str" cm="1">
        <f t="array" ref="K11">_xlfn.IFS(J11&lt;1%,"Green",AND(J11&gt;=95%,J11&lt;=97%),"Amber",J11&gt;=98%,"Red")</f>
        <v>Red</v>
      </c>
      <c r="L11" s="73"/>
      <c r="M11" s="58" t="s">
        <v>266</v>
      </c>
      <c r="N11" s="77" t="s">
        <v>103</v>
      </c>
      <c r="O11" s="78">
        <v>45777</v>
      </c>
    </row>
    <row r="12" spans="1:17" ht="36" customHeight="1" x14ac:dyDescent="0.3">
      <c r="A12" t="s">
        <v>197</v>
      </c>
      <c r="B12" t="s">
        <v>38</v>
      </c>
      <c r="C12" s="13" t="s">
        <v>208</v>
      </c>
      <c r="D12" s="58" t="s">
        <v>41</v>
      </c>
      <c r="E12" s="58" t="s">
        <v>408</v>
      </c>
      <c r="F12" s="59" t="s">
        <v>220</v>
      </c>
      <c r="G12" s="67">
        <v>0</v>
      </c>
      <c r="H12" s="80" t="s">
        <v>219</v>
      </c>
      <c r="I12" s="67" t="s">
        <v>256</v>
      </c>
      <c r="J12" s="67">
        <v>2</v>
      </c>
      <c r="K12" t="str" cm="1">
        <f t="array" ref="K12">_xlfn.IFS(J12=0,"Green",AND(J12&gt;=1,J12&lt;2),"Amber",J12&gt;=2,"Red")</f>
        <v>Red</v>
      </c>
      <c r="L12" s="74"/>
      <c r="M12" s="58" t="s">
        <v>267</v>
      </c>
      <c r="N12" s="77" t="s">
        <v>111</v>
      </c>
      <c r="O12" s="78">
        <v>45779</v>
      </c>
    </row>
    <row r="13" spans="1:17" ht="36" customHeight="1" x14ac:dyDescent="0.3">
      <c r="A13" t="s">
        <v>198</v>
      </c>
      <c r="B13" t="s">
        <v>37</v>
      </c>
      <c r="C13" s="13" t="s">
        <v>209</v>
      </c>
      <c r="D13" s="58" t="s">
        <v>44</v>
      </c>
      <c r="E13" s="58" t="s">
        <v>409</v>
      </c>
      <c r="F13" s="59" t="s">
        <v>225</v>
      </c>
      <c r="G13" s="67">
        <v>0</v>
      </c>
      <c r="H13" s="67" t="s">
        <v>226</v>
      </c>
      <c r="I13" s="67" t="s">
        <v>257</v>
      </c>
      <c r="J13" s="67">
        <v>40</v>
      </c>
      <c r="K13" t="str" cm="1">
        <f t="array" ref="K13">_xlfn.IFS(J13=0,"Green",AND(J13&gt;=1,J13&lt;=30),"Amber",J13&gt;30,"Red")</f>
        <v>Red</v>
      </c>
      <c r="L13" s="74">
        <v>45762</v>
      </c>
      <c r="M13" s="58" t="s">
        <v>268</v>
      </c>
      <c r="N13" s="77" t="s">
        <v>109</v>
      </c>
      <c r="O13" s="78">
        <v>45777</v>
      </c>
    </row>
    <row r="14" spans="1:17" ht="36" customHeight="1" x14ac:dyDescent="0.3">
      <c r="A14" t="s">
        <v>199</v>
      </c>
      <c r="B14" t="s">
        <v>36</v>
      </c>
      <c r="C14" s="13" t="s">
        <v>210</v>
      </c>
      <c r="D14" s="58" t="s">
        <v>45</v>
      </c>
      <c r="E14" s="58" t="s">
        <v>216</v>
      </c>
      <c r="F14" s="59" t="s">
        <v>227</v>
      </c>
      <c r="G14" s="70">
        <v>0</v>
      </c>
      <c r="H14" s="67" t="s">
        <v>228</v>
      </c>
      <c r="I14" s="67" t="s">
        <v>258</v>
      </c>
      <c r="J14" s="70">
        <v>0.78</v>
      </c>
      <c r="K14" t="str" cm="1">
        <f t="array" ref="K14">_xlfn.IFS(J14&gt;0.95,"Red",AND(J14&gt;=0.8,J14&lt;=0.95),"Amber",J14&lt;0.8,"Green")</f>
        <v>Green</v>
      </c>
      <c r="L14" s="73"/>
      <c r="M14" s="58" t="s">
        <v>269</v>
      </c>
      <c r="N14" s="77" t="s">
        <v>107</v>
      </c>
      <c r="O14" s="78">
        <v>45777</v>
      </c>
    </row>
    <row r="18" spans="4:7" ht="15.6" x14ac:dyDescent="0.3">
      <c r="D18" s="111" t="s">
        <v>145</v>
      </c>
      <c r="E18" s="111"/>
      <c r="F18" s="111"/>
      <c r="G18" s="111"/>
    </row>
    <row r="19" spans="4:7" x14ac:dyDescent="0.3">
      <c r="D19" s="75" t="s">
        <v>275</v>
      </c>
      <c r="E19" s="75" t="s">
        <v>273</v>
      </c>
      <c r="F19" s="75" t="s">
        <v>272</v>
      </c>
      <c r="G19" s="75" t="s">
        <v>274</v>
      </c>
    </row>
    <row r="20" spans="4:7" x14ac:dyDescent="0.3">
      <c r="D20" s="76">
        <f>COUNTA(A3:A14)</f>
        <v>12</v>
      </c>
      <c r="E20" s="76">
        <f>COUNTIF(K3:K14,"Green")</f>
        <v>3</v>
      </c>
      <c r="F20" s="76">
        <f>COUNTIF(K3:K14,"Amber")</f>
        <v>5</v>
      </c>
      <c r="G20" s="76">
        <f>COUNTIF(K3:K14,"Red")</f>
        <v>4</v>
      </c>
    </row>
  </sheetData>
  <mergeCells count="2">
    <mergeCell ref="A1:Q1"/>
    <mergeCell ref="D18:G18"/>
  </mergeCells>
  <phoneticPr fontId="2" type="noConversion"/>
  <conditionalFormatting sqref="K3:K14">
    <cfRule type="cellIs" dxfId="83" priority="8" operator="equal">
      <formula>"RED"</formula>
    </cfRule>
    <cfRule type="cellIs" dxfId="82" priority="9" operator="equal">
      <formula>"Amber"</formula>
    </cfRule>
    <cfRule type="cellIs" dxfId="81" priority="10" operator="equal">
      <formula>"Green"</formula>
    </cfRule>
  </conditionalFormatting>
  <dataValidations disablePrompts="1" count="1">
    <dataValidation type="list" allowBlank="1" showInputMessage="1" showErrorMessage="1" sqref="F3:F14" xr:uid="{46F4A5C8-1185-4DE7-A071-0B9D51EC1023}">
      <formula1>$F$3:$F$14</formula1>
    </dataValidation>
  </dataValidations>
  <pageMargins left="0.7" right="0.7" top="0.75" bottom="0.75" header="0.3" footer="0.3"/>
  <ignoredErrors>
    <ignoredError sqref="H13" twoDigitTextYear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F25188C-36EA-4FBC-A56A-4C7FA1F7B554}">
          <x14:formula1>
            <xm:f>'Reference &amp; Linkage Map'!$A$2:$G$2</xm:f>
          </x14:formula1>
          <xm:sqref>D3:D14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C2A98-1316-48B1-9699-D562540CA5D9}">
  <dimension ref="A1:P20"/>
  <sheetViews>
    <sheetView zoomScale="80" zoomScaleNormal="80" workbookViewId="0">
      <selection activeCell="K7" sqref="K7"/>
    </sheetView>
  </sheetViews>
  <sheetFormatPr defaultColWidth="25.77734375" defaultRowHeight="43.95" customHeight="1" x14ac:dyDescent="0.3"/>
  <cols>
    <col min="1" max="1" width="8" customWidth="1"/>
    <col min="2" max="2" width="15.44140625" customWidth="1"/>
    <col min="3" max="3" width="10.33203125" customWidth="1"/>
    <col min="4" max="4" width="18.77734375" customWidth="1"/>
    <col min="6" max="6" width="23.77734375" customWidth="1"/>
    <col min="7" max="7" width="9.33203125" style="88" customWidth="1"/>
    <col min="8" max="8" width="15.77734375" style="53" customWidth="1"/>
    <col min="9" max="9" width="16.21875" bestFit="1" customWidth="1"/>
    <col min="10" max="10" width="9.6640625" bestFit="1" customWidth="1"/>
    <col min="11" max="11" width="10.44140625" bestFit="1" customWidth="1"/>
    <col min="12" max="12" width="25.21875" style="53" bestFit="1" customWidth="1"/>
    <col min="13" max="13" width="17.21875" bestFit="1" customWidth="1"/>
    <col min="14" max="14" width="24.21875" style="89" customWidth="1"/>
  </cols>
  <sheetData>
    <row r="1" spans="1:16" ht="43.95" customHeight="1" x14ac:dyDescent="0.3">
      <c r="A1" s="112" t="s">
        <v>411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</row>
    <row r="2" spans="1:16" s="93" customFormat="1" ht="43.95" customHeight="1" x14ac:dyDescent="0.3">
      <c r="A2" s="90" t="s">
        <v>276</v>
      </c>
      <c r="B2" s="90" t="s">
        <v>277</v>
      </c>
      <c r="C2" s="90" t="s">
        <v>278</v>
      </c>
      <c r="D2" s="90" t="s">
        <v>279</v>
      </c>
      <c r="E2" s="90" t="s">
        <v>280</v>
      </c>
      <c r="F2" s="91" t="s">
        <v>281</v>
      </c>
      <c r="G2" s="90" t="s">
        <v>282</v>
      </c>
      <c r="H2" s="87" t="s">
        <v>410</v>
      </c>
      <c r="I2" s="90" t="s">
        <v>283</v>
      </c>
      <c r="J2" s="90" t="s">
        <v>284</v>
      </c>
      <c r="K2" s="92" t="s">
        <v>285</v>
      </c>
      <c r="L2" s="90" t="s">
        <v>286</v>
      </c>
      <c r="M2" s="92" t="s">
        <v>287</v>
      </c>
      <c r="N2" s="90" t="s">
        <v>288</v>
      </c>
      <c r="O2" s="92"/>
      <c r="P2" s="92"/>
    </row>
    <row r="3" spans="1:16" ht="43.95" customHeight="1" x14ac:dyDescent="0.3">
      <c r="A3" s="81" t="s">
        <v>289</v>
      </c>
      <c r="B3" s="81" t="s">
        <v>290</v>
      </c>
      <c r="C3" s="81" t="s">
        <v>291</v>
      </c>
      <c r="D3" s="81" t="s">
        <v>292</v>
      </c>
      <c r="E3" s="84" t="s">
        <v>293</v>
      </c>
      <c r="F3" s="82" t="s">
        <v>294</v>
      </c>
      <c r="G3" s="84" t="s">
        <v>295</v>
      </c>
      <c r="H3" s="84" t="s">
        <v>296</v>
      </c>
      <c r="I3" s="102" t="s">
        <v>297</v>
      </c>
      <c r="J3" s="81" t="s">
        <v>105</v>
      </c>
      <c r="K3" s="102" t="s">
        <v>419</v>
      </c>
      <c r="L3" s="86" t="s">
        <v>298</v>
      </c>
      <c r="M3" s="83" t="s">
        <v>299</v>
      </c>
      <c r="N3" s="85" t="s">
        <v>300</v>
      </c>
      <c r="O3" s="63"/>
      <c r="P3" s="63"/>
    </row>
    <row r="4" spans="1:16" ht="43.95" customHeight="1" x14ac:dyDescent="0.3">
      <c r="A4" s="81" t="s">
        <v>301</v>
      </c>
      <c r="B4" s="81" t="s">
        <v>302</v>
      </c>
      <c r="C4" s="81" t="s">
        <v>303</v>
      </c>
      <c r="D4" s="81" t="s">
        <v>304</v>
      </c>
      <c r="E4" s="84" t="s">
        <v>305</v>
      </c>
      <c r="F4" s="82" t="s">
        <v>306</v>
      </c>
      <c r="G4" s="84" t="s">
        <v>295</v>
      </c>
      <c r="H4" s="84" t="s">
        <v>307</v>
      </c>
      <c r="I4" s="102" t="s">
        <v>308</v>
      </c>
      <c r="J4" s="81" t="s">
        <v>103</v>
      </c>
      <c r="K4" s="103" t="s">
        <v>419</v>
      </c>
      <c r="L4" s="86" t="s">
        <v>309</v>
      </c>
      <c r="M4" s="83" t="s">
        <v>310</v>
      </c>
      <c r="N4" s="85" t="s">
        <v>311</v>
      </c>
      <c r="O4" s="63"/>
      <c r="P4" s="63"/>
    </row>
    <row r="5" spans="1:16" ht="43.95" customHeight="1" x14ac:dyDescent="0.3">
      <c r="A5" s="81" t="s">
        <v>312</v>
      </c>
      <c r="B5" s="81" t="s">
        <v>313</v>
      </c>
      <c r="C5" s="81" t="s">
        <v>314</v>
      </c>
      <c r="D5" s="81" t="s">
        <v>315</v>
      </c>
      <c r="E5" s="84" t="s">
        <v>316</v>
      </c>
      <c r="F5" s="82" t="s">
        <v>317</v>
      </c>
      <c r="G5" s="84" t="s">
        <v>295</v>
      </c>
      <c r="H5" s="84" t="s">
        <v>318</v>
      </c>
      <c r="I5" s="102" t="s">
        <v>319</v>
      </c>
      <c r="J5" s="81" t="s">
        <v>107</v>
      </c>
      <c r="K5" s="102" t="s">
        <v>419</v>
      </c>
      <c r="L5" s="86" t="s">
        <v>320</v>
      </c>
      <c r="M5" s="83" t="s">
        <v>299</v>
      </c>
      <c r="N5" s="85" t="s">
        <v>321</v>
      </c>
      <c r="O5" s="63"/>
      <c r="P5" s="63"/>
    </row>
    <row r="6" spans="1:16" ht="43.95" customHeight="1" x14ac:dyDescent="0.3">
      <c r="A6" s="81" t="s">
        <v>322</v>
      </c>
      <c r="B6" s="81" t="s">
        <v>323</v>
      </c>
      <c r="C6" s="81" t="s">
        <v>314</v>
      </c>
      <c r="D6" s="81" t="s">
        <v>324</v>
      </c>
      <c r="E6" s="84" t="s">
        <v>325</v>
      </c>
      <c r="F6" s="84" t="s">
        <v>326</v>
      </c>
      <c r="G6" s="84" t="s">
        <v>295</v>
      </c>
      <c r="H6" s="84" t="s">
        <v>327</v>
      </c>
      <c r="I6" s="102" t="s">
        <v>328</v>
      </c>
      <c r="J6" s="81" t="s">
        <v>111</v>
      </c>
      <c r="K6" s="102" t="s">
        <v>419</v>
      </c>
      <c r="L6" s="86" t="s">
        <v>329</v>
      </c>
      <c r="M6" s="83" t="s">
        <v>310</v>
      </c>
      <c r="N6" s="85" t="s">
        <v>330</v>
      </c>
      <c r="O6" s="63"/>
      <c r="P6" s="63"/>
    </row>
    <row r="7" spans="1:16" ht="43.95" customHeight="1" x14ac:dyDescent="0.3">
      <c r="A7" s="81" t="s">
        <v>331</v>
      </c>
      <c r="B7" s="81" t="s">
        <v>332</v>
      </c>
      <c r="C7" s="81" t="s">
        <v>333</v>
      </c>
      <c r="D7" s="81" t="s">
        <v>334</v>
      </c>
      <c r="E7" s="84" t="s">
        <v>335</v>
      </c>
      <c r="F7" s="81" t="s">
        <v>336</v>
      </c>
      <c r="G7" s="84" t="s">
        <v>295</v>
      </c>
      <c r="H7" s="84" t="s">
        <v>337</v>
      </c>
      <c r="I7" s="102" t="s">
        <v>338</v>
      </c>
      <c r="J7" s="81" t="s">
        <v>103</v>
      </c>
      <c r="K7" s="102" t="s">
        <v>419</v>
      </c>
      <c r="L7" s="86" t="s">
        <v>339</v>
      </c>
      <c r="M7" s="83" t="s">
        <v>310</v>
      </c>
      <c r="N7" s="85" t="s">
        <v>340</v>
      </c>
      <c r="O7" s="63"/>
      <c r="P7" s="63"/>
    </row>
    <row r="8" spans="1:16" ht="43.95" customHeight="1" x14ac:dyDescent="0.3">
      <c r="A8" s="81" t="s">
        <v>341</v>
      </c>
      <c r="B8" s="81" t="s">
        <v>342</v>
      </c>
      <c r="C8" s="81" t="s">
        <v>314</v>
      </c>
      <c r="D8" s="81" t="s">
        <v>343</v>
      </c>
      <c r="E8" s="84" t="s">
        <v>344</v>
      </c>
      <c r="F8" s="81" t="s">
        <v>345</v>
      </c>
      <c r="G8" s="84" t="s">
        <v>346</v>
      </c>
      <c r="H8" s="84" t="s">
        <v>347</v>
      </c>
      <c r="I8" s="102" t="s">
        <v>348</v>
      </c>
      <c r="J8" s="81" t="s">
        <v>105</v>
      </c>
      <c r="K8" s="102" t="s">
        <v>349</v>
      </c>
      <c r="L8" s="86" t="s">
        <v>350</v>
      </c>
      <c r="M8" s="83" t="s">
        <v>351</v>
      </c>
      <c r="N8" s="85" t="s">
        <v>352</v>
      </c>
      <c r="O8" s="63"/>
      <c r="P8" s="63"/>
    </row>
    <row r="9" spans="1:16" ht="43.95" customHeight="1" x14ac:dyDescent="0.3">
      <c r="A9" s="81" t="s">
        <v>353</v>
      </c>
      <c r="B9" s="81" t="s">
        <v>354</v>
      </c>
      <c r="C9" s="81" t="s">
        <v>314</v>
      </c>
      <c r="D9" s="81" t="s">
        <v>355</v>
      </c>
      <c r="E9" s="84" t="s">
        <v>356</v>
      </c>
      <c r="F9" s="81" t="s">
        <v>357</v>
      </c>
      <c r="G9" s="84" t="s">
        <v>346</v>
      </c>
      <c r="H9" s="84" t="s">
        <v>358</v>
      </c>
      <c r="I9" s="83" t="s">
        <v>359</v>
      </c>
      <c r="J9" s="81" t="s">
        <v>107</v>
      </c>
      <c r="K9" s="102" t="s">
        <v>360</v>
      </c>
      <c r="L9" s="86" t="s">
        <v>359</v>
      </c>
      <c r="M9" s="83" t="s">
        <v>351</v>
      </c>
      <c r="N9" s="85" t="s">
        <v>359</v>
      </c>
      <c r="O9" s="63"/>
      <c r="P9" s="63"/>
    </row>
    <row r="10" spans="1:16" ht="43.95" customHeight="1" x14ac:dyDescent="0.3">
      <c r="A10" s="81" t="s">
        <v>361</v>
      </c>
      <c r="B10" s="81" t="s">
        <v>362</v>
      </c>
      <c r="C10" s="81" t="s">
        <v>333</v>
      </c>
      <c r="D10" s="81" t="s">
        <v>363</v>
      </c>
      <c r="E10" s="84" t="s">
        <v>364</v>
      </c>
      <c r="F10" s="82" t="s">
        <v>365</v>
      </c>
      <c r="G10" s="84" t="s">
        <v>346</v>
      </c>
      <c r="H10" s="84" t="s">
        <v>366</v>
      </c>
      <c r="I10" s="83" t="s">
        <v>359</v>
      </c>
      <c r="J10" s="81" t="s">
        <v>111</v>
      </c>
      <c r="K10" s="102" t="s">
        <v>360</v>
      </c>
      <c r="L10" s="86" t="s">
        <v>359</v>
      </c>
      <c r="M10" s="83" t="s">
        <v>351</v>
      </c>
      <c r="N10" s="85" t="s">
        <v>359</v>
      </c>
      <c r="O10" s="63"/>
      <c r="P10" s="63"/>
    </row>
    <row r="11" spans="1:16" ht="43.95" customHeight="1" x14ac:dyDescent="0.3">
      <c r="A11" s="81" t="s">
        <v>367</v>
      </c>
      <c r="B11" s="81" t="s">
        <v>368</v>
      </c>
      <c r="C11" s="81" t="s">
        <v>303</v>
      </c>
      <c r="D11" s="81" t="s">
        <v>369</v>
      </c>
      <c r="E11" s="84" t="s">
        <v>370</v>
      </c>
      <c r="F11" s="82" t="s">
        <v>371</v>
      </c>
      <c r="G11" s="84" t="s">
        <v>346</v>
      </c>
      <c r="H11" s="84" t="s">
        <v>372</v>
      </c>
      <c r="I11" s="83" t="s">
        <v>359</v>
      </c>
      <c r="J11" s="81" t="s">
        <v>103</v>
      </c>
      <c r="K11" s="102" t="s">
        <v>360</v>
      </c>
      <c r="L11" s="86" t="s">
        <v>359</v>
      </c>
      <c r="M11" s="83" t="s">
        <v>351</v>
      </c>
      <c r="N11" s="85" t="s">
        <v>359</v>
      </c>
      <c r="O11" s="63"/>
      <c r="P11" s="63"/>
    </row>
    <row r="12" spans="1:16" ht="43.95" customHeight="1" x14ac:dyDescent="0.3">
      <c r="A12" s="81" t="s">
        <v>373</v>
      </c>
      <c r="B12" s="81" t="s">
        <v>374</v>
      </c>
      <c r="C12" s="81" t="s">
        <v>291</v>
      </c>
      <c r="D12" s="81" t="s">
        <v>375</v>
      </c>
      <c r="E12" s="84" t="s">
        <v>376</v>
      </c>
      <c r="F12" s="82" t="s">
        <v>377</v>
      </c>
      <c r="G12" s="84" t="s">
        <v>378</v>
      </c>
      <c r="H12" s="86" t="s">
        <v>379</v>
      </c>
      <c r="I12" s="83" t="s">
        <v>359</v>
      </c>
      <c r="J12" s="81" t="s">
        <v>109</v>
      </c>
      <c r="K12" s="102" t="s">
        <v>360</v>
      </c>
      <c r="L12" s="86" t="s">
        <v>359</v>
      </c>
      <c r="M12" s="83" t="s">
        <v>351</v>
      </c>
      <c r="N12" s="85" t="s">
        <v>359</v>
      </c>
      <c r="O12" s="63"/>
      <c r="P12" s="63"/>
    </row>
    <row r="13" spans="1:16" ht="43.95" customHeight="1" x14ac:dyDescent="0.3">
      <c r="A13" s="81" t="s">
        <v>380</v>
      </c>
      <c r="B13" s="81" t="s">
        <v>381</v>
      </c>
      <c r="C13" s="81" t="s">
        <v>291</v>
      </c>
      <c r="D13" s="81" t="s">
        <v>382</v>
      </c>
      <c r="E13" s="84" t="s">
        <v>383</v>
      </c>
      <c r="F13" s="82" t="s">
        <v>384</v>
      </c>
      <c r="G13" s="84" t="s">
        <v>378</v>
      </c>
      <c r="H13" s="86" t="s">
        <v>385</v>
      </c>
      <c r="I13" s="83" t="s">
        <v>359</v>
      </c>
      <c r="J13" s="81" t="s">
        <v>109</v>
      </c>
      <c r="K13" s="102" t="s">
        <v>360</v>
      </c>
      <c r="L13" s="86" t="s">
        <v>359</v>
      </c>
      <c r="M13" s="83" t="s">
        <v>351</v>
      </c>
      <c r="N13" s="85" t="s">
        <v>359</v>
      </c>
      <c r="O13" s="63"/>
      <c r="P13" s="63"/>
    </row>
    <row r="14" spans="1:16" ht="43.95" customHeight="1" x14ac:dyDescent="0.3">
      <c r="A14" s="83" t="s">
        <v>386</v>
      </c>
      <c r="B14" s="83" t="s">
        <v>387</v>
      </c>
      <c r="C14" s="83" t="s">
        <v>314</v>
      </c>
      <c r="D14" s="86" t="s">
        <v>388</v>
      </c>
      <c r="E14" s="85" t="s">
        <v>389</v>
      </c>
      <c r="F14" s="86" t="s">
        <v>390</v>
      </c>
      <c r="G14" s="84" t="s">
        <v>378</v>
      </c>
      <c r="H14" s="86" t="s">
        <v>391</v>
      </c>
      <c r="I14" s="83" t="s">
        <v>359</v>
      </c>
      <c r="J14" s="83" t="s">
        <v>111</v>
      </c>
      <c r="K14" s="102" t="s">
        <v>360</v>
      </c>
      <c r="L14" s="86" t="s">
        <v>359</v>
      </c>
      <c r="M14" s="83" t="s">
        <v>351</v>
      </c>
      <c r="N14" s="85" t="s">
        <v>359</v>
      </c>
      <c r="O14" s="63"/>
      <c r="P14" s="63"/>
    </row>
    <row r="15" spans="1:16" ht="43.95" customHeight="1" x14ac:dyDescent="0.3">
      <c r="A15" s="83" t="s">
        <v>392</v>
      </c>
      <c r="B15" s="83" t="s">
        <v>393</v>
      </c>
      <c r="C15" s="83" t="s">
        <v>291</v>
      </c>
      <c r="D15" s="86" t="s">
        <v>394</v>
      </c>
      <c r="E15" s="84" t="s">
        <v>395</v>
      </c>
      <c r="F15" s="86" t="s">
        <v>396</v>
      </c>
      <c r="G15" s="84" t="s">
        <v>397</v>
      </c>
      <c r="H15" s="86" t="s">
        <v>398</v>
      </c>
      <c r="I15" s="83" t="s">
        <v>359</v>
      </c>
      <c r="J15" s="83" t="s">
        <v>107</v>
      </c>
      <c r="K15" s="102" t="s">
        <v>360</v>
      </c>
      <c r="L15" s="86" t="s">
        <v>359</v>
      </c>
      <c r="M15" s="83" t="s">
        <v>351</v>
      </c>
      <c r="N15" s="85" t="s">
        <v>359</v>
      </c>
      <c r="O15" s="63"/>
      <c r="P15" s="63"/>
    </row>
    <row r="16" spans="1:16" ht="43.95" customHeight="1" x14ac:dyDescent="0.3">
      <c r="A16" s="83" t="s">
        <v>399</v>
      </c>
      <c r="B16" s="83" t="s">
        <v>49</v>
      </c>
      <c r="C16" s="83" t="s">
        <v>303</v>
      </c>
      <c r="D16" s="86" t="s">
        <v>400</v>
      </c>
      <c r="E16" s="85" t="s">
        <v>401</v>
      </c>
      <c r="F16" s="86" t="s">
        <v>402</v>
      </c>
      <c r="G16" s="84" t="s">
        <v>397</v>
      </c>
      <c r="H16" s="86" t="s">
        <v>403</v>
      </c>
      <c r="I16" s="83" t="s">
        <v>359</v>
      </c>
      <c r="J16" s="83" t="s">
        <v>105</v>
      </c>
      <c r="K16" s="102" t="s">
        <v>360</v>
      </c>
      <c r="L16" s="86" t="s">
        <v>359</v>
      </c>
      <c r="M16" s="83" t="s">
        <v>351</v>
      </c>
      <c r="N16" s="85" t="s">
        <v>359</v>
      </c>
      <c r="O16" s="63"/>
      <c r="P16" s="63"/>
    </row>
    <row r="18" spans="4:9" ht="43.95" customHeight="1" x14ac:dyDescent="0.3">
      <c r="D18" s="113" t="s">
        <v>145</v>
      </c>
      <c r="E18" s="113"/>
      <c r="F18" s="113"/>
      <c r="G18" s="113"/>
      <c r="H18" s="113"/>
      <c r="I18" s="113"/>
    </row>
    <row r="19" spans="4:9" ht="43.95" customHeight="1" x14ac:dyDescent="0.3">
      <c r="D19" s="98" t="s">
        <v>418</v>
      </c>
      <c r="E19" s="98" t="s">
        <v>419</v>
      </c>
      <c r="F19" s="98" t="s">
        <v>349</v>
      </c>
      <c r="G19" s="99" t="s">
        <v>360</v>
      </c>
      <c r="H19" s="99" t="s">
        <v>299</v>
      </c>
      <c r="I19" s="99" t="s">
        <v>310</v>
      </c>
    </row>
    <row r="20" spans="4:9" ht="43.95" customHeight="1" x14ac:dyDescent="0.3">
      <c r="D20" s="100">
        <v>14</v>
      </c>
      <c r="E20" s="100">
        <v>5</v>
      </c>
      <c r="F20" s="100">
        <v>1</v>
      </c>
      <c r="G20" s="101">
        <v>8</v>
      </c>
      <c r="H20" s="101">
        <v>2</v>
      </c>
      <c r="I20" s="100">
        <v>3</v>
      </c>
    </row>
  </sheetData>
  <mergeCells count="2">
    <mergeCell ref="A1:O1"/>
    <mergeCell ref="D18:I18"/>
  </mergeCells>
  <conditionalFormatting sqref="K3:K16">
    <cfRule type="containsText" dxfId="80" priority="3" operator="containsText" text="planned">
      <formula>NOT(ISERROR(SEARCH("planned",K3)))</formula>
    </cfRule>
    <cfRule type="containsText" dxfId="79" priority="4" operator="containsText" text="complete">
      <formula>NOT(ISERROR(SEARCH("complete",K3)))</formula>
    </cfRule>
    <cfRule type="containsText" dxfId="78" priority="5" operator="containsText" text="In Progress">
      <formula>NOT(ISERROR(SEARCH("In Progress",K3)))</formula>
    </cfRule>
  </conditionalFormatting>
  <conditionalFormatting sqref="M3:M16">
    <cfRule type="containsText" dxfId="77" priority="1" operator="containsText" text="needs">
      <formula>NOT(ISERROR(SEARCH("needs",M3)))</formula>
    </cfRule>
    <cfRule type="containsText" dxfId="76" priority="2" operator="containsText" text="Unsatisfactory">
      <formula>NOT(ISERROR(SEARCH("Unsatisfactory",M3)))</formula>
    </cfRule>
  </conditionalFormatting>
  <dataValidations count="5">
    <dataValidation type="list" allowBlank="1" showInputMessage="1" showErrorMessage="1" sqref="C4:C16" xr:uid="{70C697FF-36DC-4957-8F0A-262BBC5AF015}">
      <formula1>$C$3:$C$16</formula1>
    </dataValidation>
    <dataValidation type="list" allowBlank="1" showInputMessage="1" showErrorMessage="1" sqref="C3" xr:uid="{9C1E62E5-5FB9-4661-A551-3CE38C8273FE}">
      <formula1>",Basel 1,Basel 2,Basel 3,Basel 4,Basel 5,Basel 6,Basel 7"</formula1>
    </dataValidation>
    <dataValidation type="list" allowBlank="1" showInputMessage="1" showErrorMessage="1" sqref="G3:G16" xr:uid="{A97292AA-D865-4185-896C-280D80E53EE7}">
      <formula1>"Q1,Q2,Q3,Q4"</formula1>
    </dataValidation>
    <dataValidation type="list" errorStyle="warning" allowBlank="1" showInputMessage="1" showErrorMessage="1" sqref="K3:K16" xr:uid="{B00A6228-24CF-4DA7-9E96-7349846B0874}">
      <formula1>"Complete, In Progress,Planned"</formula1>
    </dataValidation>
    <dataValidation type="list" allowBlank="1" showInputMessage="1" showErrorMessage="1" sqref="M3:M16" xr:uid="{B1D01399-4B12-44D9-8749-202558864814}">
      <formula1>"Unsatisfactory, Needs Improvement,TBC,-"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8CE09-79F1-48ED-A6ED-EB3990B938B6}">
  <sheetPr>
    <pageSetUpPr fitToPage="1"/>
  </sheetPr>
  <dimension ref="A1:L15"/>
  <sheetViews>
    <sheetView zoomScale="70" zoomScaleNormal="70" workbookViewId="0">
      <selection activeCell="F4" sqref="F4"/>
    </sheetView>
  </sheetViews>
  <sheetFormatPr defaultRowHeight="14.4" x14ac:dyDescent="0.3"/>
  <cols>
    <col min="1" max="1" width="20.77734375" customWidth="1"/>
    <col min="2" max="2" width="20.6640625" customWidth="1"/>
    <col min="3" max="7" width="20.77734375" customWidth="1"/>
    <col min="11" max="11" width="11.44140625" customWidth="1"/>
    <col min="12" max="12" width="32.77734375" customWidth="1"/>
  </cols>
  <sheetData>
    <row r="1" spans="1:12" ht="24.6" x14ac:dyDescent="0.3">
      <c r="A1" s="114" t="s">
        <v>244</v>
      </c>
      <c r="B1" s="115"/>
      <c r="C1" s="115"/>
      <c r="D1" s="115"/>
      <c r="E1" s="115"/>
      <c r="F1" s="115"/>
      <c r="G1" s="115"/>
      <c r="K1" s="116" t="s">
        <v>245</v>
      </c>
      <c r="L1" s="116"/>
    </row>
    <row r="2" spans="1:12" s="53" customFormat="1" ht="60" customHeight="1" x14ac:dyDescent="0.3">
      <c r="A2" s="64" t="s">
        <v>40</v>
      </c>
      <c r="B2" s="64" t="s">
        <v>41</v>
      </c>
      <c r="C2" s="64" t="s">
        <v>47</v>
      </c>
      <c r="D2" s="64" t="s">
        <v>42</v>
      </c>
      <c r="E2" s="64" t="s">
        <v>43</v>
      </c>
      <c r="F2" s="64" t="s">
        <v>44</v>
      </c>
      <c r="G2" s="64" t="s">
        <v>45</v>
      </c>
      <c r="K2" s="66" t="s">
        <v>233</v>
      </c>
      <c r="L2" s="66" t="s">
        <v>234</v>
      </c>
    </row>
    <row r="3" spans="1:12" ht="40.049999999999997" customHeight="1" x14ac:dyDescent="0.3">
      <c r="A3" s="65" t="s">
        <v>167</v>
      </c>
      <c r="B3" s="65" t="s">
        <v>168</v>
      </c>
      <c r="C3" s="65" t="s">
        <v>169</v>
      </c>
      <c r="D3" s="65" t="s">
        <v>151</v>
      </c>
      <c r="E3" s="65" t="s">
        <v>152</v>
      </c>
      <c r="F3" s="65" t="s">
        <v>153</v>
      </c>
      <c r="G3" s="65" t="s">
        <v>154</v>
      </c>
      <c r="K3" s="4" t="s">
        <v>188</v>
      </c>
      <c r="L3" s="4" t="s">
        <v>235</v>
      </c>
    </row>
    <row r="4" spans="1:12" ht="40.049999999999997" customHeight="1" x14ac:dyDescent="0.3">
      <c r="A4" s="65" t="s">
        <v>155</v>
      </c>
      <c r="B4" s="65" t="s">
        <v>156</v>
      </c>
      <c r="C4" s="65" t="s">
        <v>157</v>
      </c>
      <c r="D4" s="65" t="s">
        <v>158</v>
      </c>
      <c r="E4" s="65" t="s">
        <v>159</v>
      </c>
      <c r="F4" s="65" t="s">
        <v>160</v>
      </c>
      <c r="G4" s="65" t="s">
        <v>161</v>
      </c>
      <c r="K4" s="4" t="s">
        <v>189</v>
      </c>
      <c r="L4" s="4" t="s">
        <v>246</v>
      </c>
    </row>
    <row r="5" spans="1:12" ht="40.049999999999997" customHeight="1" x14ac:dyDescent="0.3">
      <c r="A5" s="65" t="s">
        <v>162</v>
      </c>
      <c r="B5" s="65"/>
      <c r="C5" s="65"/>
      <c r="D5" s="65"/>
      <c r="E5" s="65"/>
      <c r="F5" s="65" t="s">
        <v>163</v>
      </c>
      <c r="G5" s="65" t="s">
        <v>164</v>
      </c>
      <c r="K5" s="4" t="s">
        <v>190</v>
      </c>
      <c r="L5" s="4" t="s">
        <v>247</v>
      </c>
    </row>
    <row r="6" spans="1:12" ht="40.049999999999997" customHeight="1" x14ac:dyDescent="0.3">
      <c r="A6" s="65"/>
      <c r="B6" s="65"/>
      <c r="C6" s="65"/>
      <c r="D6" s="65"/>
      <c r="E6" s="65"/>
      <c r="F6" s="65" t="s">
        <v>165</v>
      </c>
      <c r="G6" s="65" t="s">
        <v>166</v>
      </c>
      <c r="K6" s="4" t="s">
        <v>191</v>
      </c>
      <c r="L6" s="4" t="s">
        <v>236</v>
      </c>
    </row>
    <row r="7" spans="1:12" ht="40.049999999999997" customHeight="1" x14ac:dyDescent="0.3">
      <c r="A7" s="65"/>
      <c r="B7" s="65"/>
      <c r="C7" s="65"/>
      <c r="D7" s="65"/>
      <c r="E7" s="65"/>
      <c r="F7" s="65"/>
      <c r="G7" s="65" t="s">
        <v>170</v>
      </c>
      <c r="K7" s="4" t="s">
        <v>192</v>
      </c>
      <c r="L7" s="4" t="s">
        <v>237</v>
      </c>
    </row>
    <row r="8" spans="1:12" ht="40.049999999999997" customHeight="1" x14ac:dyDescent="0.3">
      <c r="A8" s="65"/>
      <c r="B8" s="65"/>
      <c r="C8" s="65"/>
      <c r="D8" s="65"/>
      <c r="E8" s="65"/>
      <c r="F8" s="65"/>
      <c r="G8" s="65" t="s">
        <v>171</v>
      </c>
      <c r="K8" s="4" t="s">
        <v>193</v>
      </c>
      <c r="L8" s="4" t="s">
        <v>238</v>
      </c>
    </row>
    <row r="9" spans="1:12" ht="40.049999999999997" customHeight="1" x14ac:dyDescent="0.3">
      <c r="A9" s="65"/>
      <c r="B9" s="65"/>
      <c r="C9" s="65"/>
      <c r="D9" s="65"/>
      <c r="E9" s="65"/>
      <c r="F9" s="65"/>
      <c r="G9" s="65" t="s">
        <v>172</v>
      </c>
      <c r="K9" s="4" t="s">
        <v>194</v>
      </c>
      <c r="L9" s="4" t="s">
        <v>239</v>
      </c>
    </row>
    <row r="10" spans="1:12" ht="40.049999999999997" customHeight="1" x14ac:dyDescent="0.3">
      <c r="A10" s="65"/>
      <c r="B10" s="65"/>
      <c r="C10" s="65"/>
      <c r="D10" s="65"/>
      <c r="E10" s="65"/>
      <c r="F10" s="65"/>
      <c r="G10" s="65" t="s">
        <v>173</v>
      </c>
      <c r="K10" s="4" t="s">
        <v>195</v>
      </c>
      <c r="L10" s="4" t="s">
        <v>240</v>
      </c>
    </row>
    <row r="11" spans="1:12" ht="40.049999999999997" customHeight="1" x14ac:dyDescent="0.3">
      <c r="A11" s="65"/>
      <c r="B11" s="65"/>
      <c r="C11" s="65"/>
      <c r="D11" s="65"/>
      <c r="E11" s="65"/>
      <c r="F11" s="65"/>
      <c r="G11" s="65" t="s">
        <v>174</v>
      </c>
      <c r="K11" s="4" t="s">
        <v>196</v>
      </c>
      <c r="L11" s="4" t="s">
        <v>241</v>
      </c>
    </row>
    <row r="12" spans="1:12" ht="40.049999999999997" customHeight="1" x14ac:dyDescent="0.3">
      <c r="A12" s="63"/>
      <c r="B12" s="63"/>
      <c r="C12" s="63"/>
      <c r="D12" s="63"/>
      <c r="E12" s="63"/>
      <c r="F12" s="63"/>
      <c r="G12" s="63"/>
      <c r="K12" s="4" t="s">
        <v>197</v>
      </c>
      <c r="L12" s="4" t="s">
        <v>242</v>
      </c>
    </row>
    <row r="13" spans="1:12" ht="40.049999999999997" customHeight="1" x14ac:dyDescent="0.3">
      <c r="K13" s="4" t="s">
        <v>198</v>
      </c>
      <c r="L13" s="4" t="s">
        <v>243</v>
      </c>
    </row>
    <row r="14" spans="1:12" ht="40.049999999999997" customHeight="1" x14ac:dyDescent="0.3">
      <c r="K14" s="4" t="s">
        <v>199</v>
      </c>
      <c r="L14" s="4" t="s">
        <v>248</v>
      </c>
    </row>
    <row r="15" spans="1:12" ht="40.049999999999997" customHeight="1" x14ac:dyDescent="0.3"/>
  </sheetData>
  <mergeCells count="2">
    <mergeCell ref="A1:G1"/>
    <mergeCell ref="K1:L1"/>
  </mergeCells>
  <pageMargins left="0.7" right="0.7" top="0.75" bottom="0.75" header="0.3" footer="0.3"/>
  <pageSetup scale="62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59B84-6F87-40F0-8B51-8D21A2EBDA78}">
  <dimension ref="A1:Q25"/>
  <sheetViews>
    <sheetView topLeftCell="A2" workbookViewId="0">
      <selection activeCell="B13" sqref="B13"/>
    </sheetView>
  </sheetViews>
  <sheetFormatPr defaultRowHeight="14.4" x14ac:dyDescent="0.3"/>
  <cols>
    <col min="1" max="1" width="42.88671875" bestFit="1" customWidth="1"/>
    <col min="2" max="2" width="7.77734375" bestFit="1" customWidth="1"/>
    <col min="3" max="3" width="5.44140625" bestFit="1" customWidth="1"/>
    <col min="4" max="4" width="5.109375" bestFit="1" customWidth="1"/>
    <col min="5" max="5" width="8.77734375" bestFit="1" customWidth="1"/>
    <col min="6" max="6" width="12.21875" bestFit="1" customWidth="1"/>
    <col min="7" max="7" width="6.44140625" bestFit="1" customWidth="1"/>
    <col min="8" max="8" width="20.6640625" bestFit="1" customWidth="1"/>
    <col min="9" max="9" width="3" customWidth="1"/>
    <col min="14" max="14" width="13.6640625" customWidth="1"/>
  </cols>
  <sheetData>
    <row r="1" spans="1:17" ht="35.4" customHeight="1" x14ac:dyDescent="0.3">
      <c r="A1" s="106" t="s">
        <v>426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4" spans="1:17" ht="22.8" x14ac:dyDescent="0.3">
      <c r="A4" s="104" t="s">
        <v>421</v>
      </c>
      <c r="B4" s="105"/>
      <c r="C4" s="105"/>
      <c r="D4" s="105"/>
      <c r="J4" s="104" t="s">
        <v>417</v>
      </c>
      <c r="K4" s="105"/>
      <c r="L4" s="105"/>
      <c r="M4" s="105"/>
      <c r="N4" s="105"/>
    </row>
    <row r="5" spans="1:17" x14ac:dyDescent="0.3">
      <c r="A5" s="94" t="s">
        <v>28</v>
      </c>
      <c r="B5" s="97" t="s">
        <v>416</v>
      </c>
      <c r="J5" s="105"/>
      <c r="K5" s="105"/>
      <c r="L5" s="105"/>
      <c r="M5" s="105"/>
      <c r="N5" s="105"/>
    </row>
    <row r="6" spans="1:17" x14ac:dyDescent="0.3">
      <c r="A6" s="94" t="s">
        <v>31</v>
      </c>
      <c r="B6" t="s">
        <v>416</v>
      </c>
    </row>
    <row r="7" spans="1:17" ht="15.6" x14ac:dyDescent="0.3">
      <c r="A7" s="96" t="s">
        <v>30</v>
      </c>
      <c r="B7" t="s">
        <v>416</v>
      </c>
    </row>
    <row r="9" spans="1:17" x14ac:dyDescent="0.3">
      <c r="A9" s="94" t="s">
        <v>413</v>
      </c>
      <c r="B9" t="s">
        <v>415</v>
      </c>
      <c r="C9" t="s">
        <v>420</v>
      </c>
    </row>
    <row r="10" spans="1:17" x14ac:dyDescent="0.3">
      <c r="A10" s="57" t="s">
        <v>40</v>
      </c>
      <c r="B10" s="95">
        <v>0</v>
      </c>
      <c r="C10" s="117">
        <v>3</v>
      </c>
    </row>
    <row r="11" spans="1:17" x14ac:dyDescent="0.3">
      <c r="A11" s="57" t="s">
        <v>41</v>
      </c>
      <c r="B11" s="95">
        <v>0</v>
      </c>
      <c r="C11" s="117">
        <v>2</v>
      </c>
    </row>
    <row r="12" spans="1:17" x14ac:dyDescent="0.3">
      <c r="A12" s="57" t="s">
        <v>42</v>
      </c>
      <c r="B12" s="95">
        <v>12000</v>
      </c>
      <c r="C12" s="117">
        <v>1</v>
      </c>
    </row>
    <row r="13" spans="1:17" x14ac:dyDescent="0.3">
      <c r="A13" s="57" t="s">
        <v>44</v>
      </c>
      <c r="B13" s="95">
        <v>460000</v>
      </c>
      <c r="C13" s="117">
        <v>4</v>
      </c>
    </row>
    <row r="14" spans="1:17" x14ac:dyDescent="0.3">
      <c r="A14" s="57" t="s">
        <v>45</v>
      </c>
      <c r="B14" s="95">
        <v>191500</v>
      </c>
      <c r="C14" s="117">
        <v>10</v>
      </c>
    </row>
    <row r="15" spans="1:17" x14ac:dyDescent="0.3">
      <c r="A15" s="57" t="s">
        <v>414</v>
      </c>
      <c r="B15" s="95">
        <v>663500</v>
      </c>
      <c r="C15" s="117">
        <v>20</v>
      </c>
    </row>
    <row r="18" spans="1:6" x14ac:dyDescent="0.3">
      <c r="A18" s="118" t="s">
        <v>423</v>
      </c>
      <c r="B18" s="119" t="s">
        <v>422</v>
      </c>
      <c r="C18" s="120"/>
      <c r="D18" s="120"/>
      <c r="E18" s="120"/>
      <c r="F18" s="120"/>
    </row>
    <row r="19" spans="1:6" x14ac:dyDescent="0.3">
      <c r="A19" s="118" t="s">
        <v>424</v>
      </c>
      <c r="B19" s="122" t="s">
        <v>94</v>
      </c>
      <c r="C19" s="125" t="s">
        <v>91</v>
      </c>
      <c r="D19" s="126" t="s">
        <v>93</v>
      </c>
      <c r="E19" s="127" t="s">
        <v>92</v>
      </c>
      <c r="F19" s="120" t="s">
        <v>414</v>
      </c>
    </row>
    <row r="20" spans="1:6" x14ac:dyDescent="0.3">
      <c r="A20" s="124" t="s">
        <v>40</v>
      </c>
      <c r="B20" s="123">
        <v>1</v>
      </c>
      <c r="C20" s="123">
        <v>1</v>
      </c>
      <c r="D20" s="123"/>
      <c r="E20" s="123">
        <v>1</v>
      </c>
      <c r="F20" s="123">
        <v>3</v>
      </c>
    </row>
    <row r="21" spans="1:6" x14ac:dyDescent="0.3">
      <c r="A21" s="124" t="s">
        <v>41</v>
      </c>
      <c r="B21" s="123"/>
      <c r="C21" s="123">
        <v>1</v>
      </c>
      <c r="D21" s="123"/>
      <c r="E21" s="123">
        <v>1</v>
      </c>
      <c r="F21" s="123">
        <v>2</v>
      </c>
    </row>
    <row r="22" spans="1:6" x14ac:dyDescent="0.3">
      <c r="A22" s="124" t="s">
        <v>42</v>
      </c>
      <c r="B22" s="123"/>
      <c r="C22" s="123"/>
      <c r="D22" s="123"/>
      <c r="E22" s="123">
        <v>1</v>
      </c>
      <c r="F22" s="123">
        <v>1</v>
      </c>
    </row>
    <row r="23" spans="1:6" x14ac:dyDescent="0.3">
      <c r="A23" s="124" t="s">
        <v>44</v>
      </c>
      <c r="B23" s="123"/>
      <c r="C23" s="123">
        <v>1</v>
      </c>
      <c r="D23" s="123"/>
      <c r="E23" s="123">
        <v>3</v>
      </c>
      <c r="F23" s="123">
        <v>4</v>
      </c>
    </row>
    <row r="24" spans="1:6" x14ac:dyDescent="0.3">
      <c r="A24" s="124" t="s">
        <v>45</v>
      </c>
      <c r="B24" s="123"/>
      <c r="C24" s="123">
        <v>6</v>
      </c>
      <c r="D24" s="123">
        <v>2</v>
      </c>
      <c r="E24" s="123">
        <v>2</v>
      </c>
      <c r="F24" s="123">
        <v>10</v>
      </c>
    </row>
    <row r="25" spans="1:6" x14ac:dyDescent="0.3">
      <c r="A25" s="121" t="s">
        <v>414</v>
      </c>
      <c r="B25" s="123">
        <v>1</v>
      </c>
      <c r="C25" s="123">
        <v>9</v>
      </c>
      <c r="D25" s="123">
        <v>2</v>
      </c>
      <c r="E25" s="123">
        <v>8</v>
      </c>
      <c r="F25" s="123">
        <v>20</v>
      </c>
    </row>
  </sheetData>
  <mergeCells count="3">
    <mergeCell ref="A4:D4"/>
    <mergeCell ref="J4:N5"/>
    <mergeCell ref="A1:Q1"/>
  </mergeCell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Risk Event Log</vt:lpstr>
      <vt:lpstr>KRI Tracker</vt:lpstr>
      <vt:lpstr>Independent Testing</vt:lpstr>
      <vt:lpstr>Reference &amp; Linkage Map</vt:lpstr>
      <vt:lpstr>Dashboard</vt:lpstr>
      <vt:lpstr>'Reference &amp; Linkage Map'!Print_Area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</dc:creator>
  <cp:lastModifiedBy>Aishwarya</cp:lastModifiedBy>
  <cp:lastPrinted>2026-05-10T07:22:01Z</cp:lastPrinted>
  <dcterms:created xsi:type="dcterms:W3CDTF">2026-05-09T20:04:44Z</dcterms:created>
  <dcterms:modified xsi:type="dcterms:W3CDTF">2026-05-14T15:04:55Z</dcterms:modified>
</cp:coreProperties>
</file>